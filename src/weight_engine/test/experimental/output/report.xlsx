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glio di configurazione" sheetId="1" state="visible" r:id="rId1"/>
    <sheet name="Epoch 9" sheetId="2" state="visible" r:id="rId2"/>
    <sheet name="Epoch 10" sheetId="3" state="visible" r:id="rId3"/>
    <sheet name="Epoch 11" sheetId="4" state="visible" r:id="rId4"/>
    <sheet name="Epoch 12" sheetId="5" state="visible" r:id="rId5"/>
    <sheet name="Epoch 13" sheetId="6" state="visible" r:id="rId6"/>
    <sheet name="Epoch 14" sheetId="7" state="visible" r:id="rId7"/>
    <sheet name="Epoch 15" sheetId="8" state="visible" r:id="rId8"/>
    <sheet name="Epoch 16" sheetId="9" state="visible" r:id="rId9"/>
    <sheet name="Epoch 17" sheetId="10" state="visible" r:id="rId10"/>
    <sheet name="Epoch 18" sheetId="11" state="visible" r:id="rId11"/>
    <sheet name="Epoch 19" sheetId="12" state="visible" r:id="rId12"/>
    <sheet name="Epoch 20" sheetId="13" state="visible" r:id="rId13"/>
    <sheet name="Epoch 21" sheetId="14" state="visible" r:id="rId14"/>
    <sheet name="Epoch 22" sheetId="15" state="visible" r:id="rId15"/>
    <sheet name="Epoch 23" sheetId="16" state="visible" r:id="rId16"/>
    <sheet name="Epoch 24" sheetId="17" state="visible" r:id="rId17"/>
    <sheet name="Epoch 25" sheetId="18" state="visible" r:id="rId18"/>
    <sheet name="Epoch 26" sheetId="19" state="visible" r:id="rId19"/>
    <sheet name="Epoch 27" sheetId="20" state="visible" r:id="rId20"/>
    <sheet name="Epoch 28" sheetId="21" state="visible" r:id="rId21"/>
    <sheet name="Riepilogo" sheetId="22" state="visible" r:id="rId22"/>
    <sheet name="Pesi &amp; Probabilita" sheetId="23" state="visible" r:id="rId23"/>
    <sheet name="Proposer log (wpoa)" sheetId="24" state="visible" r:id="rId24"/>
    <sheet name="Verifiche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horizontal="center" vertical="center"/>
    </xf>
    <xf numFmtId="0" fontId="0" fillId="6" borderId="1" pivotButton="0" quotePrefix="0" xfId="0"/>
    <xf numFmtId="2" fontId="0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" fillId="4" borderId="0" pivotButton="0" quotePrefix="0" xfId="0"/>
    <xf numFmtId="164" fontId="0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7" borderId="0" pivotButton="0" quotePrefix="0" xfId="0"/>
    <xf numFmtId="0" fontId="2" fillId="7" borderId="1" pivotButton="0" quotePrefix="0" xfId="0"/>
    <xf numFmtId="0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2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2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2" fillId="8" borderId="1" pivotButton="0" quotePrefix="0" xfId="0"/>
    <xf numFmtId="0" fontId="0" fillId="8" borderId="1" pivotButton="0" quotePrefix="0" xfId="0"/>
    <xf numFmtId="0" fontId="2" fillId="8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30" customWidth="1" min="3" max="3"/>
    <col width="12" customWidth="1" min="4" max="4"/>
    <col width="12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MyLedger / wPoA — Foglio di configurazione</t>
        </is>
      </c>
    </row>
    <row r="3">
      <c r="A3" s="2" t="inlineStr">
        <is>
          <t>Parametro</t>
        </is>
      </c>
      <c r="B3" s="3" t="inlineStr">
        <is>
          <t>Valore</t>
        </is>
      </c>
      <c r="C3" s="2" t="inlineStr">
        <is>
          <t>Note</t>
        </is>
      </c>
    </row>
    <row r="4">
      <c r="A4" s="4" t="inlineStr">
        <is>
          <t>Score minimo ESG</t>
        </is>
      </c>
      <c r="B4" s="5" t="n">
        <v>10</v>
      </c>
      <c r="C4" s="6" t="inlineStr">
        <is>
          <t>intero, statico per tutta la run</t>
        </is>
      </c>
    </row>
    <row r="5">
      <c r="A5" s="4" t="inlineStr">
        <is>
          <t>Score massimo ESG</t>
        </is>
      </c>
      <c r="B5" s="5" t="n">
        <v>20</v>
      </c>
      <c r="C5" s="6" t="inlineStr">
        <is>
          <t>intero, statico per tutta la run</t>
        </is>
      </c>
    </row>
    <row r="6">
      <c r="A6" s="4" t="inlineStr">
        <is>
          <t>Numero minimo Tx</t>
        </is>
      </c>
      <c r="B6" s="5" t="n">
        <v>8</v>
      </c>
      <c r="C6" s="6" t="inlineStr">
        <is>
          <t>per azienda, per epoca</t>
        </is>
      </c>
    </row>
    <row r="7">
      <c r="A7" s="4" t="inlineStr">
        <is>
          <t>Numero massimo Tx</t>
        </is>
      </c>
      <c r="B7" s="5" t="n">
        <v>18</v>
      </c>
      <c r="C7" s="6" t="inlineStr">
        <is>
          <t>per azienda, per epoca</t>
        </is>
      </c>
    </row>
    <row r="8">
      <c r="A8" s="4" t="inlineStr">
        <is>
          <t>Numero min/max Tx miner</t>
        </is>
      </c>
      <c r="B8" s="5" t="inlineStr">
        <is>
          <t>10..20</t>
        </is>
      </c>
      <c r="C8" s="6" t="inlineStr">
        <is>
          <t>tau_Mk, il termine di attivita propria del miner in W_k</t>
        </is>
      </c>
    </row>
    <row r="9">
      <c r="A9" s="4" t="inlineStr">
        <is>
          <t>alpha (costo per Tx)</t>
        </is>
      </c>
      <c r="B9" s="5" t="n">
        <v>0.2</v>
      </c>
      <c r="C9" s="6" t="inlineStr">
        <is>
          <t>GAS per transazione — 1 GAS = 1 EUR</t>
        </is>
      </c>
    </row>
    <row r="10">
      <c r="A10" s="4" t="inlineStr">
        <is>
          <t>kappa</t>
        </is>
      </c>
      <c r="B10" s="5" t="n">
        <v>100</v>
      </c>
      <c r="C10" s="6" t="inlineStr">
        <is>
          <t>normalizzazione: Impatto utente = Tx * ESG / kappa</t>
        </is>
      </c>
    </row>
    <row r="11">
      <c r="A11" s="4" t="inlineStr">
        <is>
          <t>lambda</t>
        </is>
      </c>
      <c r="B11" s="5" t="n">
        <v>0.5</v>
      </c>
      <c r="C11" s="6" t="inlineStr">
        <is>
          <t>smorzamento del feedback di conformita</t>
        </is>
      </c>
    </row>
    <row r="12">
      <c r="A12" s="4" t="inlineStr">
        <is>
          <t>Peso % Reso</t>
        </is>
      </c>
      <c r="B12" s="5" t="n">
        <v>50</v>
      </c>
      <c r="C12" s="6" t="inlineStr">
        <is>
          <t>lambda in percentuale — il parametro del foglio Vers_2</t>
        </is>
      </c>
    </row>
    <row r="13">
      <c r="A13" s="4" t="inlineStr">
        <is>
          <t>Base allocazione</t>
        </is>
      </c>
      <c r="B13" s="5" t="inlineStr">
        <is>
          <t>raw</t>
        </is>
      </c>
      <c r="C13" s="6" t="inlineStr">
        <is>
          <t>raw = A_k proporzionale a W_k (tesi/engine C++); final = A_k proporzionale a w_k (foglio Vers_2)</t>
        </is>
      </c>
    </row>
    <row r="14">
      <c r="A14" s="4" t="inlineStr">
        <is>
          <t>Modalita</t>
        </is>
      </c>
      <c r="B14" s="5" t="inlineStr">
        <is>
          <t>wpoa</t>
        </is>
      </c>
      <c r="C14" s="6" t="inlineStr">
        <is>
          <t>wpoa = selezione pesata; native = round-robin</t>
        </is>
      </c>
    </row>
    <row r="15">
      <c r="A15" s="4" t="inlineStr">
        <is>
          <t>Seed</t>
        </is>
      </c>
      <c r="B15" s="5" t="n">
        <v>42</v>
      </c>
      <c r="C15" s="6" t="inlineStr">
        <is>
          <t>ogni scelta casuale deriva da qui</t>
        </is>
      </c>
    </row>
    <row r="16">
      <c r="A16" s="4" t="inlineStr">
        <is>
          <t>Numero cluster</t>
        </is>
      </c>
      <c r="B16" s="5" t="n">
        <v>5</v>
      </c>
      <c r="C16" s="6" t="inlineStr">
        <is>
          <t>ClusterMiner</t>
        </is>
      </c>
    </row>
    <row r="17">
      <c r="A17" s="4" t="inlineStr">
        <is>
          <t>Aziende per cluster</t>
        </is>
      </c>
      <c r="B17" s="5" t="n">
        <v>10</v>
      </c>
      <c r="C17" s="6" t="inlineStr">
        <is>
          <t>trasmettono le transazioni</t>
        </is>
      </c>
    </row>
    <row r="18">
      <c r="A18" s="4" t="inlineStr">
        <is>
          <t>Epoche campionate</t>
        </is>
      </c>
      <c r="B18" s="5" t="inlineStr">
        <is>
          <t>9..28</t>
        </is>
      </c>
      <c r="C18" s="6" t="inlineStr">
        <is>
          <t>una scheda per epoca</t>
        </is>
      </c>
    </row>
    <row r="19">
      <c r="A19" s="4" t="inlineStr">
        <is>
          <t>Valuta</t>
        </is>
      </c>
      <c r="B19" s="5" t="inlineStr">
        <is>
          <t>GAS</t>
        </is>
      </c>
      <c r="C19" s="6" t="inlineStr">
        <is>
          <t>asset divisibile che modella il GAS nativo</t>
        </is>
      </c>
    </row>
    <row r="21">
      <c r="A21" s="1" t="inlineStr">
        <is>
          <t>Range di generazione (struttura del foglio Vers_2)</t>
        </is>
      </c>
    </row>
    <row r="22">
      <c r="A22" s="3" t="inlineStr"/>
      <c r="B22" s="3" t="inlineStr">
        <is>
          <t>Score minimo ESG</t>
        </is>
      </c>
      <c r="C22" s="3" t="inlineStr">
        <is>
          <t>Score massimo ESG</t>
        </is>
      </c>
      <c r="D22" s="3" t="inlineStr">
        <is>
          <t>Numero minimo Tx</t>
        </is>
      </c>
      <c r="E22" s="3" t="inlineStr">
        <is>
          <t>Numero massimo Tx</t>
        </is>
      </c>
    </row>
    <row r="23">
      <c r="A23" s="7" t="inlineStr">
        <is>
          <t>ClusterMinerA</t>
        </is>
      </c>
      <c r="B23" s="5" t="n">
        <v>10</v>
      </c>
      <c r="C23" s="5" t="n">
        <v>20</v>
      </c>
      <c r="D23" s="5" t="n">
        <v>10</v>
      </c>
      <c r="E23" s="5" t="n">
        <v>20</v>
      </c>
    </row>
    <row r="24">
      <c r="A24" s="7" t="inlineStr">
        <is>
          <t>ClusterMinerB</t>
        </is>
      </c>
      <c r="B24" s="5" t="n">
        <v>10</v>
      </c>
      <c r="C24" s="5" t="n">
        <v>20</v>
      </c>
      <c r="D24" s="5" t="n">
        <v>10</v>
      </c>
      <c r="E24" s="5" t="n">
        <v>20</v>
      </c>
    </row>
    <row r="25">
      <c r="A25" s="7" t="inlineStr">
        <is>
          <t>ClusterMinerC</t>
        </is>
      </c>
      <c r="B25" s="5" t="n">
        <v>10</v>
      </c>
      <c r="C25" s="5" t="n">
        <v>20</v>
      </c>
      <c r="D25" s="5" t="n">
        <v>10</v>
      </c>
      <c r="E25" s="5" t="n">
        <v>20</v>
      </c>
    </row>
    <row r="26">
      <c r="A26" s="7" t="inlineStr">
        <is>
          <t>ClusterMinerD</t>
        </is>
      </c>
      <c r="B26" s="5" t="n">
        <v>10</v>
      </c>
      <c r="C26" s="5" t="n">
        <v>20</v>
      </c>
      <c r="D26" s="5" t="n">
        <v>10</v>
      </c>
      <c r="E26" s="5" t="n">
        <v>20</v>
      </c>
    </row>
    <row r="27">
      <c r="A27" s="7" t="inlineStr">
        <is>
          <t>ClusterMinerE</t>
        </is>
      </c>
      <c r="B27" s="5" t="n">
        <v>10</v>
      </c>
      <c r="C27" s="5" t="n">
        <v>20</v>
      </c>
      <c r="D27" s="5" t="n">
        <v>10</v>
      </c>
      <c r="E27" s="5" t="n">
        <v>20</v>
      </c>
    </row>
    <row r="28">
      <c r="A28" s="8" t="inlineStr">
        <is>
          <t>AZIENDE ClusterMinerA</t>
        </is>
      </c>
      <c r="B28" s="5" t="n">
        <v>10</v>
      </c>
      <c r="C28" s="5" t="n">
        <v>20</v>
      </c>
      <c r="D28" s="5" t="n">
        <v>8</v>
      </c>
      <c r="E28" s="5" t="n">
        <v>18</v>
      </c>
    </row>
    <row r="29">
      <c r="A29" s="8" t="inlineStr">
        <is>
          <t>AZIENDE ClusterMinerB</t>
        </is>
      </c>
      <c r="B29" s="5" t="n">
        <v>10</v>
      </c>
      <c r="C29" s="5" t="n">
        <v>20</v>
      </c>
      <c r="D29" s="5" t="n">
        <v>8</v>
      </c>
      <c r="E29" s="5" t="n">
        <v>18</v>
      </c>
    </row>
    <row r="30">
      <c r="A30" s="8" t="inlineStr">
        <is>
          <t>AZIENDE ClusterMinerC</t>
        </is>
      </c>
      <c r="B30" s="5" t="n">
        <v>10</v>
      </c>
      <c r="C30" s="5" t="n">
        <v>20</v>
      </c>
      <c r="D30" s="5" t="n">
        <v>8</v>
      </c>
      <c r="E30" s="5" t="n">
        <v>18</v>
      </c>
    </row>
    <row r="31">
      <c r="A31" s="8" t="inlineStr">
        <is>
          <t>AZIENDE ClusterMinerD</t>
        </is>
      </c>
      <c r="B31" s="5" t="n">
        <v>10</v>
      </c>
      <c r="C31" s="5" t="n">
        <v>20</v>
      </c>
      <c r="D31" s="5" t="n">
        <v>8</v>
      </c>
      <c r="E31" s="5" t="n">
        <v>18</v>
      </c>
    </row>
    <row r="32">
      <c r="A32" s="8" t="inlineStr">
        <is>
          <t>AZIENDE ClusterMinerE</t>
        </is>
      </c>
      <c r="B32" s="5" t="n">
        <v>10</v>
      </c>
      <c r="C32" s="5" t="n">
        <v>20</v>
      </c>
      <c r="D32" s="5" t="n">
        <v>8</v>
      </c>
      <c r="E32" s="5" t="n">
        <v>18</v>
      </c>
    </row>
    <row r="33">
      <c r="A33" s="9" t="inlineStr">
        <is>
          <t>Peso % Reso</t>
        </is>
      </c>
      <c r="B33" s="10" t="n">
        <v>50</v>
      </c>
      <c r="C33" s="11" t="n"/>
      <c r="D33" s="11" t="n"/>
      <c r="E33" s="11" t="n"/>
    </row>
    <row r="35">
      <c r="A35" s="1" t="inlineStr">
        <is>
          <t>ClusterMiner — Score ESG, Certificato ISO, Peso %, Reso</t>
        </is>
      </c>
    </row>
    <row r="36">
      <c r="A36" s="3" t="inlineStr">
        <is>
          <t>ClusterMiner</t>
        </is>
      </c>
      <c r="B36" s="3" t="inlineStr">
        <is>
          <t>Score ESG</t>
        </is>
      </c>
      <c r="C36" s="3" t="inlineStr">
        <is>
          <t>Certificato ISO</t>
        </is>
      </c>
      <c r="D36" s="3" t="inlineStr">
        <is>
          <t>Peso %</t>
        </is>
      </c>
      <c r="E36" s="3" t="inlineStr">
        <is>
          <t>Reso</t>
        </is>
      </c>
      <c r="F36" s="3" t="inlineStr">
        <is>
          <t>Total GAIN (EUR)</t>
        </is>
      </c>
    </row>
    <row r="37">
      <c r="A37" s="7" t="inlineStr">
        <is>
          <t>ClusterMinerA</t>
        </is>
      </c>
      <c r="B37" s="5" t="n">
        <v>20</v>
      </c>
      <c r="C37" s="6" t="inlineStr">
        <is>
          <t>ISO 14001</t>
        </is>
      </c>
      <c r="D37" s="12" t="n">
        <v>24.8731</v>
      </c>
      <c r="E37" s="12" t="n">
        <v>100</v>
      </c>
      <c r="F37" s="12" t="n">
        <v>564.2354</v>
      </c>
    </row>
    <row r="38">
      <c r="A38" s="7" t="inlineStr">
        <is>
          <t>ClusterMinerB</t>
        </is>
      </c>
      <c r="B38" s="5" t="n">
        <v>19</v>
      </c>
      <c r="C38" s="6" t="inlineStr">
        <is>
          <t>ISO 14001 + ISO 50001</t>
        </is>
      </c>
      <c r="D38" s="12" t="n">
        <v>24.12347</v>
      </c>
      <c r="E38" s="12" t="n">
        <v>90</v>
      </c>
      <c r="F38" s="12" t="n">
        <v>570.6156999999999</v>
      </c>
    </row>
    <row r="39">
      <c r="A39" s="7" t="inlineStr">
        <is>
          <t>ClusterMinerC</t>
        </is>
      </c>
      <c r="B39" s="5" t="n">
        <v>13</v>
      </c>
      <c r="C39" s="6" t="inlineStr">
        <is>
          <t>ISO 9001</t>
        </is>
      </c>
      <c r="D39" s="12" t="n">
        <v>16.20833</v>
      </c>
      <c r="E39" s="12" t="n">
        <v>75</v>
      </c>
      <c r="F39" s="12" t="n">
        <v>411.0118</v>
      </c>
    </row>
    <row r="40">
      <c r="A40" s="7" t="inlineStr">
        <is>
          <t>ClusterMinerD</t>
        </is>
      </c>
      <c r="B40" s="5" t="n">
        <v>15</v>
      </c>
      <c r="C40" s="6" t="inlineStr">
        <is>
          <t>ISO 14001</t>
        </is>
      </c>
      <c r="D40" s="12" t="n">
        <v>15.578605</v>
      </c>
      <c r="E40" s="12" t="n">
        <v>60</v>
      </c>
      <c r="F40" s="12" t="n">
        <v>432.9286</v>
      </c>
    </row>
    <row r="41">
      <c r="A41" s="7" t="inlineStr">
        <is>
          <t>ClusterMinerE</t>
        </is>
      </c>
      <c r="B41" s="5" t="n">
        <v>19</v>
      </c>
      <c r="C41" s="6" t="inlineStr">
        <is>
          <t>non certificato</t>
        </is>
      </c>
      <c r="D41" s="12" t="n">
        <v>19.21648</v>
      </c>
      <c r="E41" s="12" t="n">
        <v>40</v>
      </c>
      <c r="F41" s="12" t="n">
        <v>599.2080000000001</v>
      </c>
    </row>
    <row r="43">
      <c r="A43" s="1" t="inlineStr">
        <is>
          <t>AZIENDE per ogni Cluster (nome e Score ESG)</t>
        </is>
      </c>
    </row>
    <row r="44">
      <c r="A44" s="13" t="inlineStr">
        <is>
          <t>ClusterMinerA</t>
        </is>
      </c>
      <c r="B44" s="14" t="n"/>
      <c r="C44" s="13" t="inlineStr">
        <is>
          <t>ClusterMinerB</t>
        </is>
      </c>
      <c r="D44" s="14" t="n"/>
      <c r="E44" s="13" t="inlineStr">
        <is>
          <t>ClusterMinerC</t>
        </is>
      </c>
      <c r="F44" s="14" t="n"/>
      <c r="G44" s="13" t="inlineStr">
        <is>
          <t>ClusterMinerD</t>
        </is>
      </c>
      <c r="H44" s="14" t="n"/>
      <c r="I44" s="13" t="inlineStr">
        <is>
          <t>ClusterMinerE</t>
        </is>
      </c>
      <c r="J44" s="14" t="n"/>
    </row>
    <row r="45">
      <c r="A45" s="3" t="inlineStr">
        <is>
          <t>Nome utente</t>
        </is>
      </c>
      <c r="B45" s="3" t="inlineStr">
        <is>
          <t>Score ESG</t>
        </is>
      </c>
      <c r="C45" s="3" t="inlineStr">
        <is>
          <t>Nome utente</t>
        </is>
      </c>
      <c r="D45" s="3" t="inlineStr">
        <is>
          <t>Score ESG</t>
        </is>
      </c>
      <c r="E45" s="3" t="inlineStr">
        <is>
          <t>Nome utente</t>
        </is>
      </c>
      <c r="F45" s="3" t="inlineStr">
        <is>
          <t>Score ESG</t>
        </is>
      </c>
      <c r="G45" s="3" t="inlineStr">
        <is>
          <t>Nome utente</t>
        </is>
      </c>
      <c r="H45" s="3" t="inlineStr">
        <is>
          <t>Score ESG</t>
        </is>
      </c>
      <c r="I45" s="3" t="inlineStr">
        <is>
          <t>Nome utente</t>
        </is>
      </c>
      <c r="J45" s="3" t="inlineStr">
        <is>
          <t>Score ESG</t>
        </is>
      </c>
    </row>
    <row r="46">
      <c r="A46" s="6" t="inlineStr">
        <is>
          <t>Azienda_A1</t>
        </is>
      </c>
      <c r="B46" s="5" t="n">
        <v>11</v>
      </c>
      <c r="C46" s="6" t="inlineStr">
        <is>
          <t>Azienda_B1</t>
        </is>
      </c>
      <c r="D46" s="5" t="n">
        <v>16</v>
      </c>
      <c r="E46" s="6" t="inlineStr">
        <is>
          <t>Azienda_C1</t>
        </is>
      </c>
      <c r="F46" s="5" t="n">
        <v>20</v>
      </c>
      <c r="G46" s="6" t="inlineStr">
        <is>
          <t>Azienda_D1</t>
        </is>
      </c>
      <c r="H46" s="5" t="n">
        <v>14</v>
      </c>
      <c r="I46" s="6" t="inlineStr">
        <is>
          <t>Azienda_E1</t>
        </is>
      </c>
      <c r="J46" s="5" t="n">
        <v>14</v>
      </c>
    </row>
    <row r="47">
      <c r="A47" s="6" t="inlineStr">
        <is>
          <t>Azienda_A2</t>
        </is>
      </c>
      <c r="B47" s="5" t="n">
        <v>10</v>
      </c>
      <c r="C47" s="6" t="inlineStr">
        <is>
          <t>Azienda_B2</t>
        </is>
      </c>
      <c r="D47" s="5" t="n">
        <v>10</v>
      </c>
      <c r="E47" s="6" t="inlineStr">
        <is>
          <t>Azienda_C2</t>
        </is>
      </c>
      <c r="F47" s="5" t="n">
        <v>18</v>
      </c>
      <c r="G47" s="6" t="inlineStr">
        <is>
          <t>Azienda_D2</t>
        </is>
      </c>
      <c r="H47" s="5" t="n">
        <v>12</v>
      </c>
      <c r="I47" s="6" t="inlineStr">
        <is>
          <t>Azienda_E2</t>
        </is>
      </c>
      <c r="J47" s="5" t="n">
        <v>10</v>
      </c>
    </row>
    <row r="48">
      <c r="A48" s="6" t="inlineStr">
        <is>
          <t>Azienda_A3</t>
        </is>
      </c>
      <c r="B48" s="5" t="n">
        <v>14</v>
      </c>
      <c r="C48" s="6" t="inlineStr">
        <is>
          <t>Azienda_B3</t>
        </is>
      </c>
      <c r="D48" s="5" t="n">
        <v>10</v>
      </c>
      <c r="E48" s="6" t="inlineStr">
        <is>
          <t>Azienda_C3</t>
        </is>
      </c>
      <c r="F48" s="5" t="n">
        <v>16</v>
      </c>
      <c r="G48" s="6" t="inlineStr">
        <is>
          <t>Azienda_D3</t>
        </is>
      </c>
      <c r="H48" s="5" t="n">
        <v>13</v>
      </c>
      <c r="I48" s="6" t="inlineStr">
        <is>
          <t>Azienda_E3</t>
        </is>
      </c>
      <c r="J48" s="5" t="n">
        <v>17</v>
      </c>
    </row>
    <row r="49">
      <c r="A49" s="6" t="inlineStr">
        <is>
          <t>Azienda_A4</t>
        </is>
      </c>
      <c r="B49" s="5" t="n">
        <v>13</v>
      </c>
      <c r="C49" s="6" t="inlineStr">
        <is>
          <t>Azienda_B4</t>
        </is>
      </c>
      <c r="D49" s="5" t="n">
        <v>11</v>
      </c>
      <c r="E49" s="6" t="inlineStr">
        <is>
          <t>Azienda_C4</t>
        </is>
      </c>
      <c r="F49" s="5" t="n">
        <v>13</v>
      </c>
      <c r="G49" s="6" t="inlineStr">
        <is>
          <t>Azienda_D4</t>
        </is>
      </c>
      <c r="H49" s="5" t="n">
        <v>15</v>
      </c>
      <c r="I49" s="6" t="inlineStr">
        <is>
          <t>Azienda_E4</t>
        </is>
      </c>
      <c r="J49" s="5" t="n">
        <v>18</v>
      </c>
    </row>
    <row r="50">
      <c r="A50" s="6" t="inlineStr">
        <is>
          <t>Azienda_A5</t>
        </is>
      </c>
      <c r="B50" s="5" t="n">
        <v>13</v>
      </c>
      <c r="C50" s="6" t="inlineStr">
        <is>
          <t>Azienda_B5</t>
        </is>
      </c>
      <c r="D50" s="5" t="n">
        <v>13</v>
      </c>
      <c r="E50" s="6" t="inlineStr">
        <is>
          <t>Azienda_C5</t>
        </is>
      </c>
      <c r="F50" s="5" t="n">
        <v>17</v>
      </c>
      <c r="G50" s="6" t="inlineStr">
        <is>
          <t>Azienda_D5</t>
        </is>
      </c>
      <c r="H50" s="5" t="n">
        <v>11</v>
      </c>
      <c r="I50" s="6" t="inlineStr">
        <is>
          <t>Azienda_E5</t>
        </is>
      </c>
      <c r="J50" s="5" t="n">
        <v>11</v>
      </c>
    </row>
    <row r="51">
      <c r="A51" s="6" t="inlineStr">
        <is>
          <t>Azienda_A6</t>
        </is>
      </c>
      <c r="B51" s="5" t="n">
        <v>12</v>
      </c>
      <c r="C51" s="6" t="inlineStr">
        <is>
          <t>Azienda_B6</t>
        </is>
      </c>
      <c r="D51" s="5" t="n">
        <v>13</v>
      </c>
      <c r="E51" s="6" t="inlineStr">
        <is>
          <t>Azienda_C6</t>
        </is>
      </c>
      <c r="F51" s="5" t="n">
        <v>19</v>
      </c>
      <c r="G51" s="6" t="inlineStr">
        <is>
          <t>Azienda_D6</t>
        </is>
      </c>
      <c r="H51" s="5" t="n">
        <v>11</v>
      </c>
      <c r="I51" s="6" t="inlineStr">
        <is>
          <t>Azienda_E6</t>
        </is>
      </c>
      <c r="J51" s="5" t="n">
        <v>16</v>
      </c>
    </row>
    <row r="52">
      <c r="A52" s="6" t="inlineStr">
        <is>
          <t>Azienda_A7</t>
        </is>
      </c>
      <c r="B52" s="5" t="n">
        <v>11</v>
      </c>
      <c r="C52" s="6" t="inlineStr">
        <is>
          <t>Azienda_B7</t>
        </is>
      </c>
      <c r="D52" s="5" t="n">
        <v>18</v>
      </c>
      <c r="E52" s="6" t="inlineStr">
        <is>
          <t>Azienda_C7</t>
        </is>
      </c>
      <c r="F52" s="5" t="n">
        <v>14</v>
      </c>
      <c r="G52" s="6" t="inlineStr">
        <is>
          <t>Azienda_D7</t>
        </is>
      </c>
      <c r="H52" s="5" t="n">
        <v>16</v>
      </c>
      <c r="I52" s="6" t="inlineStr">
        <is>
          <t>Azienda_E7</t>
        </is>
      </c>
      <c r="J52" s="5" t="n">
        <v>11</v>
      </c>
    </row>
    <row r="53">
      <c r="A53" s="6" t="inlineStr">
        <is>
          <t>Azienda_A8</t>
        </is>
      </c>
      <c r="B53" s="5" t="n">
        <v>20</v>
      </c>
      <c r="C53" s="6" t="inlineStr">
        <is>
          <t>Azienda_B8</t>
        </is>
      </c>
      <c r="D53" s="5" t="n">
        <v>19</v>
      </c>
      <c r="E53" s="6" t="inlineStr">
        <is>
          <t>Azienda_C8</t>
        </is>
      </c>
      <c r="F53" s="5" t="n">
        <v>10</v>
      </c>
      <c r="G53" s="6" t="inlineStr">
        <is>
          <t>Azienda_D8</t>
        </is>
      </c>
      <c r="H53" s="5" t="n">
        <v>11</v>
      </c>
      <c r="I53" s="6" t="inlineStr">
        <is>
          <t>Azienda_E8</t>
        </is>
      </c>
      <c r="J53" s="5" t="n">
        <v>18</v>
      </c>
    </row>
    <row r="54">
      <c r="A54" s="6" t="inlineStr">
        <is>
          <t>Azienda_A9</t>
        </is>
      </c>
      <c r="B54" s="5" t="n">
        <v>18</v>
      </c>
      <c r="C54" s="6" t="inlineStr">
        <is>
          <t>Azienda_B9</t>
        </is>
      </c>
      <c r="D54" s="5" t="n">
        <v>10</v>
      </c>
      <c r="E54" s="6" t="inlineStr">
        <is>
          <t>Azienda_C9</t>
        </is>
      </c>
      <c r="F54" s="5" t="n">
        <v>12</v>
      </c>
      <c r="G54" s="6" t="inlineStr">
        <is>
          <t>Azienda_D9</t>
        </is>
      </c>
      <c r="H54" s="5" t="n">
        <v>15</v>
      </c>
      <c r="I54" s="6" t="inlineStr">
        <is>
          <t>Azienda_E9</t>
        </is>
      </c>
      <c r="J54" s="5" t="n">
        <v>14</v>
      </c>
    </row>
    <row r="55">
      <c r="A55" s="6" t="inlineStr">
        <is>
          <t>Azienda_A10</t>
        </is>
      </c>
      <c r="B55" s="5" t="n">
        <v>11</v>
      </c>
      <c r="C55" s="6" t="inlineStr">
        <is>
          <t>Azienda_B10</t>
        </is>
      </c>
      <c r="D55" s="5" t="n">
        <v>18</v>
      </c>
      <c r="E55" s="6" t="inlineStr">
        <is>
          <t>Azienda_C10</t>
        </is>
      </c>
      <c r="F55" s="5" t="n">
        <v>16</v>
      </c>
      <c r="G55" s="6" t="inlineStr">
        <is>
          <t>Azienda_D10</t>
        </is>
      </c>
      <c r="H55" s="5" t="n">
        <v>15</v>
      </c>
      <c r="I55" s="6" t="inlineStr">
        <is>
          <t>Azienda_E10</t>
        </is>
      </c>
      <c r="J55" s="5" t="n">
        <v>20</v>
      </c>
    </row>
  </sheetData>
  <mergeCells count="9">
    <mergeCell ref="A21:E21"/>
    <mergeCell ref="I44:J44"/>
    <mergeCell ref="A1:F1"/>
    <mergeCell ref="C44:D44"/>
    <mergeCell ref="A44:B44"/>
    <mergeCell ref="A43:J43"/>
    <mergeCell ref="A35:F35"/>
    <mergeCell ref="G44:H44"/>
    <mergeCell ref="E44:F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9  —  modalita wpoa  —  proposer ClusterMinerB (wpoa-weighted)  —  Theta (Tot Tx azienda) 666  —  monte premi alpha×Theta = 133.20 €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1</t>
        </is>
      </c>
    </row>
    <row r="4">
      <c r="A4" s="6" t="inlineStr">
        <is>
          <t xml:space="preserve">    Azienda 1</t>
        </is>
      </c>
      <c r="B4" s="5" t="n">
        <v>10</v>
      </c>
      <c r="C4" s="16" t="n">
        <v>1.1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9</v>
      </c>
      <c r="C5" s="16" t="n">
        <v>0.9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14</v>
      </c>
      <c r="C6" s="16" t="n">
        <v>1.96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12</v>
      </c>
      <c r="C7" s="16" t="n">
        <v>1.56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14</v>
      </c>
      <c r="C8" s="16" t="n">
        <v>1.82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10</v>
      </c>
      <c r="C9" s="16" t="n">
        <v>1.2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17</v>
      </c>
      <c r="C10" s="16" t="n">
        <v>1.87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14</v>
      </c>
      <c r="C11" s="16" t="n">
        <v>2.8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10</v>
      </c>
      <c r="C12" s="16" t="n">
        <v>1.8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17</v>
      </c>
      <c r="C13" s="16" t="n">
        <v>1.87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18</v>
      </c>
      <c r="F14" s="18" t="n">
        <v>697.6</v>
      </c>
      <c r="G14" s="19" t="n">
        <v>224.5968</v>
      </c>
      <c r="H14" s="19" t="n">
        <v>29.9163</v>
      </c>
      <c r="I14" s="19" t="n">
        <v>29.8403</v>
      </c>
      <c r="J14" s="20" t="n">
        <v>0.076</v>
      </c>
      <c r="K14" s="19" t="n">
        <v>99.746</v>
      </c>
      <c r="L14" s="19" t="n">
        <v>29.9163</v>
      </c>
      <c r="M14" s="17" t="n">
        <v>34880</v>
      </c>
      <c r="N14" s="20" t="n">
        <v>0.224596</v>
      </c>
      <c r="O14" s="18" t="n">
        <v>348.8</v>
      </c>
      <c r="P14" s="17" t="n">
        <v>34880</v>
      </c>
      <c r="Q14" s="17" t="inlineStr">
        <is>
          <t>exact</t>
        </is>
      </c>
      <c r="R14" s="17" t="inlineStr"/>
    </row>
    <row r="16">
      <c r="A16" s="21" t="inlineStr">
        <is>
          <t>ClusterMinerB   —   Score ESG 19   —   ISO 14001 + ISO 50001   —   blocchi proposti 2</t>
        </is>
      </c>
    </row>
    <row r="17">
      <c r="A17" s="6" t="inlineStr">
        <is>
          <t xml:space="preserve">    Azienda 1</t>
        </is>
      </c>
      <c r="B17" s="5" t="n">
        <v>8</v>
      </c>
      <c r="C17" s="16" t="n">
        <v>1.28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18</v>
      </c>
      <c r="C18" s="16" t="n">
        <v>1.8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8</v>
      </c>
      <c r="C19" s="16" t="n">
        <v>0.8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9</v>
      </c>
      <c r="C20" s="16" t="n">
        <v>0.99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14</v>
      </c>
      <c r="C21" s="16" t="n">
        <v>1.82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14</v>
      </c>
      <c r="C22" s="16" t="n">
        <v>1.82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14</v>
      </c>
      <c r="C23" s="16" t="n">
        <v>2.52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17</v>
      </c>
      <c r="C24" s="16" t="n">
        <v>3.23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15</v>
      </c>
      <c r="C25" s="16" t="n">
        <v>1.5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8</v>
      </c>
      <c r="C26" s="16" t="n">
        <v>1.44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22" t="inlineStr">
        <is>
          <t>TOTALE ClusterMinerB</t>
        </is>
      </c>
      <c r="B27" s="23">
        <f>SUM(B17:B26)</f>
        <v/>
      </c>
      <c r="C27" s="24">
        <f>SUM(C17:C26)</f>
        <v/>
      </c>
      <c r="D27" s="23" t="n">
        <v>19</v>
      </c>
      <c r="E27" s="23" t="n">
        <v>20</v>
      </c>
      <c r="F27" s="24" t="n">
        <v>706.8</v>
      </c>
      <c r="G27" s="25" t="n">
        <v>227.5588</v>
      </c>
      <c r="H27" s="25" t="n">
        <v>30.3108</v>
      </c>
      <c r="I27" s="25" t="n">
        <v>26.0891</v>
      </c>
      <c r="J27" s="26" t="n">
        <v>4.2217</v>
      </c>
      <c r="K27" s="25" t="n">
        <v>86.072</v>
      </c>
      <c r="L27" s="25" t="n">
        <v>30.3108</v>
      </c>
      <c r="M27" s="23" t="n">
        <v>35340</v>
      </c>
      <c r="N27" s="26" t="n">
        <v>0.227558</v>
      </c>
      <c r="O27" s="24" t="n">
        <v>353.4</v>
      </c>
      <c r="P27" s="23" t="n">
        <v>35340</v>
      </c>
      <c r="Q27" s="23" t="inlineStr">
        <is>
          <t>exact</t>
        </is>
      </c>
      <c r="R27" s="23" t="inlineStr">
        <is>
          <t>SELECTED</t>
        </is>
      </c>
    </row>
    <row r="29">
      <c r="A29" s="15" t="inlineStr">
        <is>
          <t>ClusterMinerC   —   Score ESG 13   —   ISO 9001   —   blocchi proposti 1</t>
        </is>
      </c>
    </row>
    <row r="30">
      <c r="A30" s="6" t="inlineStr">
        <is>
          <t xml:space="preserve">    Azienda 1</t>
        </is>
      </c>
      <c r="B30" s="5" t="n">
        <v>13</v>
      </c>
      <c r="C30" s="16" t="n">
        <v>2.6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9</v>
      </c>
      <c r="C31" s="16" t="n">
        <v>1.62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17</v>
      </c>
      <c r="C32" s="16" t="n">
        <v>2.72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15</v>
      </c>
      <c r="C33" s="16" t="n">
        <v>1.95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10</v>
      </c>
      <c r="C34" s="16" t="n">
        <v>1.7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13</v>
      </c>
      <c r="C35" s="16" t="n">
        <v>2.47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16</v>
      </c>
      <c r="C36" s="16" t="n">
        <v>2.24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14</v>
      </c>
      <c r="C37" s="16" t="n">
        <v>1.4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15</v>
      </c>
      <c r="C38" s="16" t="n">
        <v>1.8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10</v>
      </c>
      <c r="C39" s="16" t="n">
        <v>1.6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15</v>
      </c>
      <c r="F40" s="18" t="n">
        <v>456.3</v>
      </c>
      <c r="G40" s="19" t="n">
        <v>146.9087</v>
      </c>
      <c r="H40" s="19" t="n">
        <v>19.5682</v>
      </c>
      <c r="I40" s="19" t="n">
        <v>14.8508</v>
      </c>
      <c r="J40" s="20" t="n">
        <v>4.7174</v>
      </c>
      <c r="K40" s="19" t="n">
        <v>75.8925</v>
      </c>
      <c r="L40" s="19" t="n">
        <v>19.5682</v>
      </c>
      <c r="M40" s="17" t="n">
        <v>22815</v>
      </c>
      <c r="N40" s="20" t="n">
        <v>0.146908</v>
      </c>
      <c r="O40" s="18" t="n">
        <v>228.15</v>
      </c>
      <c r="P40" s="17" t="n">
        <v>22815</v>
      </c>
      <c r="Q40" s="17" t="inlineStr">
        <is>
          <t>exact</t>
        </is>
      </c>
      <c r="R40" s="17" t="inlineStr"/>
    </row>
    <row r="42">
      <c r="A42" s="15" t="inlineStr">
        <is>
          <t>ClusterMinerD   —   Score ESG 15   —   ISO 14001   —   blocchi proposti 1</t>
        </is>
      </c>
    </row>
    <row r="43">
      <c r="A43" s="6" t="inlineStr">
        <is>
          <t xml:space="preserve">    Azienda 1</t>
        </is>
      </c>
      <c r="B43" s="5" t="n">
        <v>17</v>
      </c>
      <c r="C43" s="16" t="n">
        <v>2.38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14</v>
      </c>
      <c r="C44" s="16" t="n">
        <v>1.68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18</v>
      </c>
      <c r="C45" s="16" t="n">
        <v>2.34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16</v>
      </c>
      <c r="C46" s="16" t="n">
        <v>2.4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9</v>
      </c>
      <c r="C47" s="16" t="n">
        <v>0.99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13</v>
      </c>
      <c r="C48" s="16" t="n">
        <v>1.43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13</v>
      </c>
      <c r="C49" s="16" t="n">
        <v>2.08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14</v>
      </c>
      <c r="C50" s="16" t="n">
        <v>1.54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14</v>
      </c>
      <c r="C51" s="16" t="n">
        <v>2.1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16</v>
      </c>
      <c r="C52" s="16" t="n">
        <v>2.4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11</v>
      </c>
      <c r="F53" s="18" t="n">
        <v>455.1</v>
      </c>
      <c r="G53" s="19" t="n">
        <v>146.5224</v>
      </c>
      <c r="H53" s="19" t="n">
        <v>19.5168</v>
      </c>
      <c r="I53" s="19" t="n">
        <v>11.7093</v>
      </c>
      <c r="J53" s="20" t="n">
        <v>7.8075</v>
      </c>
      <c r="K53" s="19" t="n">
        <v>59.996</v>
      </c>
      <c r="L53" s="19" t="n">
        <v>19.5168</v>
      </c>
      <c r="M53" s="17" t="n">
        <v>22755</v>
      </c>
      <c r="N53" s="20" t="n">
        <v>0.146522</v>
      </c>
      <c r="O53" s="18" t="n">
        <v>227.55</v>
      </c>
      <c r="P53" s="17" t="n">
        <v>22755</v>
      </c>
      <c r="Q53" s="17" t="inlineStr">
        <is>
          <t>exact</t>
        </is>
      </c>
      <c r="R53" s="17" t="inlineStr"/>
    </row>
    <row r="55">
      <c r="A55" s="15" t="inlineStr">
        <is>
          <t>ClusterMinerE   —   Score ESG 19   —   non certificato   —   blocchi proposti 1</t>
        </is>
      </c>
    </row>
    <row r="56">
      <c r="A56" s="6" t="inlineStr">
        <is>
          <t xml:space="preserve">    Azienda 1</t>
        </is>
      </c>
      <c r="B56" s="5" t="n">
        <v>18</v>
      </c>
      <c r="C56" s="16" t="n">
        <v>2.52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17</v>
      </c>
      <c r="C57" s="16" t="n">
        <v>1.7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10</v>
      </c>
      <c r="C58" s="16" t="n">
        <v>1.7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18</v>
      </c>
      <c r="C59" s="16" t="n">
        <v>3.24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11</v>
      </c>
      <c r="C60" s="16" t="n">
        <v>1.21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12</v>
      </c>
      <c r="C61" s="16" t="n">
        <v>1.92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8</v>
      </c>
      <c r="C62" s="16" t="n">
        <v>0.88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18</v>
      </c>
      <c r="C63" s="16" t="n">
        <v>3.24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17</v>
      </c>
      <c r="C64" s="16" t="n">
        <v>2.38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9</v>
      </c>
      <c r="C65" s="16" t="n">
        <v>1.8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21</v>
      </c>
      <c r="F66" s="18" t="n">
        <v>790.21</v>
      </c>
      <c r="G66" s="19" t="n">
        <v>254.4132</v>
      </c>
      <c r="H66" s="19" t="n">
        <v>33.8878</v>
      </c>
      <c r="I66" s="19" t="n">
        <v>13.3263</v>
      </c>
      <c r="J66" s="20" t="n">
        <v>20.5615</v>
      </c>
      <c r="K66" s="19" t="n">
        <v>39.3248</v>
      </c>
      <c r="L66" s="19" t="n">
        <v>33.8878</v>
      </c>
      <c r="M66" s="17" t="n">
        <v>39511</v>
      </c>
      <c r="N66" s="20" t="n">
        <v>0.254416</v>
      </c>
      <c r="O66" s="18" t="n">
        <v>395.105</v>
      </c>
      <c r="P66" s="17" t="n">
        <v>39511</v>
      </c>
      <c r="Q66" s="17" t="inlineStr">
        <is>
          <t>exact</t>
        </is>
      </c>
      <c r="R66" s="17" t="inlineStr"/>
    </row>
    <row r="68">
      <c r="A68" s="1" t="inlineStr">
        <is>
          <t>TOTALI EPOCH 9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133.2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18</v>
      </c>
      <c r="E74" s="12" t="n">
        <v>29.9163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20</v>
      </c>
      <c r="E75" s="12" t="n">
        <v>30.3108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15</v>
      </c>
      <c r="E76" s="12" t="n">
        <v>19.5682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11</v>
      </c>
      <c r="E77" s="12" t="n">
        <v>19.5168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21</v>
      </c>
      <c r="E78" s="12" t="n">
        <v>33.8878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10  —  modalita wpoa  —  proposer ClusterMinerD (wpoa-weighted)  —  Theta (Tot Tx azienda) 483  —  monte premi alpha×Theta = 96.60 €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0</t>
        </is>
      </c>
    </row>
    <row r="4">
      <c r="A4" s="6" t="inlineStr">
        <is>
          <t xml:space="preserve">    Azienda 1</t>
        </is>
      </c>
      <c r="B4" s="5" t="n">
        <v>11</v>
      </c>
      <c r="C4" s="16" t="n">
        <v>1.21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10</v>
      </c>
      <c r="C5" s="16" t="n">
        <v>1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10</v>
      </c>
      <c r="C6" s="16" t="n">
        <v>1.4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6</v>
      </c>
      <c r="C7" s="16" t="n">
        <v>0.78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7</v>
      </c>
      <c r="C8" s="16" t="n">
        <v>0.91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6</v>
      </c>
      <c r="C9" s="16" t="n">
        <v>0.72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13</v>
      </c>
      <c r="C10" s="16" t="n">
        <v>1.43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9</v>
      </c>
      <c r="C11" s="16" t="n">
        <v>1.8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11</v>
      </c>
      <c r="C12" s="16" t="n">
        <v>1.98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10</v>
      </c>
      <c r="C13" s="16" t="n">
        <v>1.1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8</v>
      </c>
      <c r="F14" s="18" t="n">
        <v>406.6</v>
      </c>
      <c r="G14" s="19" t="n">
        <v>184.3698</v>
      </c>
      <c r="H14" s="19" t="n">
        <v>17.8101</v>
      </c>
      <c r="I14" s="19" t="n">
        <v>17.2692</v>
      </c>
      <c r="J14" s="20" t="n">
        <v>0.6169</v>
      </c>
      <c r="K14" s="19" t="n">
        <v>96.551</v>
      </c>
      <c r="L14" s="19" t="n">
        <v>47.7264</v>
      </c>
      <c r="M14" s="17" t="n">
        <v>40608</v>
      </c>
      <c r="N14" s="20" t="n">
        <v>0.215178</v>
      </c>
      <c r="O14" s="18" t="n">
        <v>406.083532</v>
      </c>
      <c r="P14" s="17" t="n">
        <v>40608</v>
      </c>
      <c r="Q14" s="17" t="inlineStr">
        <is>
          <t>exact</t>
        </is>
      </c>
      <c r="R14" s="17" t="inlineStr"/>
    </row>
    <row r="16">
      <c r="A16" s="15" t="inlineStr">
        <is>
          <t>ClusterMinerB   —   Score ESG 19   —   ISO 14001 + ISO 50001   —   blocchi proposti 1</t>
        </is>
      </c>
    </row>
    <row r="17">
      <c r="A17" s="6" t="inlineStr">
        <is>
          <t xml:space="preserve">    Azienda 1</t>
        </is>
      </c>
      <c r="B17" s="5" t="n">
        <v>12</v>
      </c>
      <c r="C17" s="16" t="n">
        <v>1.92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7</v>
      </c>
      <c r="C18" s="16" t="n">
        <v>0.7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8</v>
      </c>
      <c r="C19" s="16" t="n">
        <v>0.8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8</v>
      </c>
      <c r="C20" s="16" t="n">
        <v>0.88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8</v>
      </c>
      <c r="C21" s="16" t="n">
        <v>1.04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10</v>
      </c>
      <c r="C22" s="16" t="n">
        <v>1.3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10</v>
      </c>
      <c r="C23" s="16" t="n">
        <v>1.8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12</v>
      </c>
      <c r="C24" s="16" t="n">
        <v>2.28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6</v>
      </c>
      <c r="C25" s="16" t="n">
        <v>0.6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7</v>
      </c>
      <c r="C26" s="16" t="n">
        <v>1.26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14</v>
      </c>
      <c r="F27" s="18" t="n">
        <v>505.02</v>
      </c>
      <c r="G27" s="19" t="n">
        <v>228.9977</v>
      </c>
      <c r="H27" s="19" t="n">
        <v>22.1212</v>
      </c>
      <c r="I27" s="19" t="n">
        <v>22.8454</v>
      </c>
      <c r="J27" s="20" t="n">
        <v>3.4975</v>
      </c>
      <c r="K27" s="19" t="n">
        <v>86.72320000000001</v>
      </c>
      <c r="L27" s="19" t="n">
        <v>52.432</v>
      </c>
      <c r="M27" s="17" t="n">
        <v>46985</v>
      </c>
      <c r="N27" s="20" t="n">
        <v>0.248969</v>
      </c>
      <c r="O27" s="18" t="n">
        <v>469.850309</v>
      </c>
      <c r="P27" s="17" t="n">
        <v>46985</v>
      </c>
      <c r="Q27" s="17" t="inlineStr">
        <is>
          <t>exact</t>
        </is>
      </c>
      <c r="R27" s="17" t="inlineStr"/>
    </row>
    <row r="29">
      <c r="A29" s="15" t="inlineStr">
        <is>
          <t>ClusterMinerC   —   Score ESG 13   —   ISO 9001   —   blocchi proposti 1</t>
        </is>
      </c>
    </row>
    <row r="30">
      <c r="A30" s="6" t="inlineStr">
        <is>
          <t xml:space="preserve">    Azienda 1</t>
        </is>
      </c>
      <c r="B30" s="5" t="n">
        <v>13</v>
      </c>
      <c r="C30" s="16" t="n">
        <v>2.6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11</v>
      </c>
      <c r="C31" s="16" t="n">
        <v>1.98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12</v>
      </c>
      <c r="C32" s="16" t="n">
        <v>1.92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8</v>
      </c>
      <c r="C33" s="16" t="n">
        <v>1.04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12</v>
      </c>
      <c r="C34" s="16" t="n">
        <v>2.04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13</v>
      </c>
      <c r="C35" s="16" t="n">
        <v>2.47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13</v>
      </c>
      <c r="C36" s="16" t="n">
        <v>1.82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11</v>
      </c>
      <c r="C37" s="16" t="n">
        <v>1.1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9</v>
      </c>
      <c r="C38" s="16" t="n">
        <v>1.08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9</v>
      </c>
      <c r="C39" s="16" t="n">
        <v>1.44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14</v>
      </c>
      <c r="F40" s="18" t="n">
        <v>409.37</v>
      </c>
      <c r="G40" s="19" t="n">
        <v>185.6259</v>
      </c>
      <c r="H40" s="19" t="n">
        <v>17.9315</v>
      </c>
      <c r="I40" s="19" t="n">
        <v>17.8159</v>
      </c>
      <c r="J40" s="20" t="n">
        <v>4.833</v>
      </c>
      <c r="K40" s="19" t="n">
        <v>78.66119999999999</v>
      </c>
      <c r="L40" s="19" t="n">
        <v>37.4997</v>
      </c>
      <c r="M40" s="17" t="n">
        <v>36003</v>
      </c>
      <c r="N40" s="20" t="n">
        <v>0.190777</v>
      </c>
      <c r="O40" s="18" t="n">
        <v>360.025604</v>
      </c>
      <c r="P40" s="17" t="n">
        <v>36003</v>
      </c>
      <c r="Q40" s="17" t="inlineStr">
        <is>
          <t>exact</t>
        </is>
      </c>
      <c r="R40" s="17" t="inlineStr"/>
    </row>
    <row r="42">
      <c r="A42" s="21" t="inlineStr">
        <is>
          <t>ClusterMinerD   —   Score ESG 15   —   ISO 14001   —   blocchi proposti 2</t>
        </is>
      </c>
    </row>
    <row r="43">
      <c r="A43" s="6" t="inlineStr">
        <is>
          <t xml:space="preserve">    Azienda 1</t>
        </is>
      </c>
      <c r="B43" s="5" t="n">
        <v>14</v>
      </c>
      <c r="C43" s="16" t="n">
        <v>1.96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6</v>
      </c>
      <c r="C44" s="16" t="n">
        <v>0.72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8</v>
      </c>
      <c r="C45" s="16" t="n">
        <v>1.04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7</v>
      </c>
      <c r="C46" s="16" t="n">
        <v>1.05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12</v>
      </c>
      <c r="C47" s="16" t="n">
        <v>1.32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9</v>
      </c>
      <c r="C48" s="16" t="n">
        <v>0.99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8</v>
      </c>
      <c r="C49" s="16" t="n">
        <v>1.28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12</v>
      </c>
      <c r="C50" s="16" t="n">
        <v>1.32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11</v>
      </c>
      <c r="C51" s="16" t="n">
        <v>1.65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9</v>
      </c>
      <c r="C52" s="16" t="n">
        <v>1.35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22" t="inlineStr">
        <is>
          <t>TOTALE ClusterMinerD</t>
        </is>
      </c>
      <c r="B53" s="23">
        <f>SUM(B43:B52)</f>
        <v/>
      </c>
      <c r="C53" s="24">
        <f>SUM(C43:C52)</f>
        <v/>
      </c>
      <c r="D53" s="23" t="n">
        <v>15</v>
      </c>
      <c r="E53" s="23" t="n">
        <v>10</v>
      </c>
      <c r="F53" s="24" t="n">
        <v>340.2</v>
      </c>
      <c r="G53" s="25" t="n">
        <v>154.2612</v>
      </c>
      <c r="H53" s="25" t="n">
        <v>14.9016</v>
      </c>
      <c r="I53" s="25" t="n">
        <v>13.4816</v>
      </c>
      <c r="J53" s="26" t="n">
        <v>9.227499999999999</v>
      </c>
      <c r="K53" s="25" t="n">
        <v>59.3665</v>
      </c>
      <c r="L53" s="25" t="n">
        <v>34.4184</v>
      </c>
      <c r="M53" s="23" t="n">
        <v>27215</v>
      </c>
      <c r="N53" s="26" t="n">
        <v>0.14421</v>
      </c>
      <c r="O53" s="24" t="n">
        <v>272.153202</v>
      </c>
      <c r="P53" s="23" t="n">
        <v>27215</v>
      </c>
      <c r="Q53" s="23" t="inlineStr">
        <is>
          <t>exact</t>
        </is>
      </c>
      <c r="R53" s="23" t="inlineStr">
        <is>
          <t>SELECTED</t>
        </is>
      </c>
    </row>
    <row r="55">
      <c r="A55" s="15" t="inlineStr">
        <is>
          <t>ClusterMinerE   —   Score ESG 19   —   non certificato   —   blocchi proposti 2</t>
        </is>
      </c>
    </row>
    <row r="56">
      <c r="A56" s="6" t="inlineStr">
        <is>
          <t xml:space="preserve">    Azienda 1</t>
        </is>
      </c>
      <c r="B56" s="5" t="n">
        <v>9</v>
      </c>
      <c r="C56" s="16" t="n">
        <v>1.26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7</v>
      </c>
      <c r="C57" s="16" t="n">
        <v>0.7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13</v>
      </c>
      <c r="C58" s="16" t="n">
        <v>2.21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11</v>
      </c>
      <c r="C59" s="16" t="n">
        <v>1.98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7</v>
      </c>
      <c r="C60" s="16" t="n">
        <v>0.77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9</v>
      </c>
      <c r="C61" s="16" t="n">
        <v>1.44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8</v>
      </c>
      <c r="C62" s="16" t="n">
        <v>0.88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10</v>
      </c>
      <c r="C63" s="16" t="n">
        <v>1.8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10</v>
      </c>
      <c r="C64" s="16" t="n">
        <v>1.4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11</v>
      </c>
      <c r="C65" s="16" t="n">
        <v>2.2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14</v>
      </c>
      <c r="F66" s="18" t="n">
        <v>544.16</v>
      </c>
      <c r="G66" s="19" t="n">
        <v>246.7454</v>
      </c>
      <c r="H66" s="19" t="n">
        <v>23.8356</v>
      </c>
      <c r="I66" s="19" t="n">
        <v>18.4333</v>
      </c>
      <c r="J66" s="20" t="n">
        <v>25.9638</v>
      </c>
      <c r="K66" s="19" t="n">
        <v>41.5192</v>
      </c>
      <c r="L66" s="19" t="n">
        <v>57.7234</v>
      </c>
      <c r="M66" s="17" t="n">
        <v>37907</v>
      </c>
      <c r="N66" s="20" t="n">
        <v>0.200866</v>
      </c>
      <c r="O66" s="18" t="n">
        <v>379.074839</v>
      </c>
      <c r="P66" s="17" t="n">
        <v>37907</v>
      </c>
      <c r="Q66" s="17" t="inlineStr">
        <is>
          <t>exact</t>
        </is>
      </c>
      <c r="R66" s="17" t="inlineStr"/>
    </row>
    <row r="68">
      <c r="A68" s="1" t="inlineStr">
        <is>
          <t>TOTALI EPOCH 10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96.59999999999999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8</v>
      </c>
      <c r="E74" s="12" t="n">
        <v>17.8101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14</v>
      </c>
      <c r="E75" s="12" t="n">
        <v>22.1212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14</v>
      </c>
      <c r="E76" s="12" t="n">
        <v>17.9315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10</v>
      </c>
      <c r="E77" s="12" t="n">
        <v>14.9016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14</v>
      </c>
      <c r="E78" s="12" t="n">
        <v>23.8356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11  —  modalita wpoa  —  proposer ClusterMinerA (wpoa-weighted)  —  Theta (Tot Tx azienda) 488  —  monte premi alpha×Theta = 97.60 €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21" t="inlineStr">
        <is>
          <t>ClusterMinerA   —   Score ESG 20   —   ISO 14001   —   blocchi proposti 3</t>
        </is>
      </c>
    </row>
    <row r="4">
      <c r="A4" s="6" t="inlineStr">
        <is>
          <t xml:space="preserve">    Azienda 1</t>
        </is>
      </c>
      <c r="B4" s="5" t="n">
        <v>9</v>
      </c>
      <c r="C4" s="16" t="n">
        <v>0.99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11</v>
      </c>
      <c r="C5" s="16" t="n">
        <v>1.1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8</v>
      </c>
      <c r="C6" s="16" t="n">
        <v>1.12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6</v>
      </c>
      <c r="C7" s="16" t="n">
        <v>0.78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9</v>
      </c>
      <c r="C8" s="16" t="n">
        <v>1.17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9</v>
      </c>
      <c r="C9" s="16" t="n">
        <v>1.08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15</v>
      </c>
      <c r="C10" s="16" t="n">
        <v>1.65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9</v>
      </c>
      <c r="C11" s="16" t="n">
        <v>1.8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11</v>
      </c>
      <c r="C12" s="16" t="n">
        <v>1.98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9</v>
      </c>
      <c r="C13" s="16" t="n">
        <v>0.99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22" t="inlineStr">
        <is>
          <t>TOTALE ClusterMinerA</t>
        </is>
      </c>
      <c r="B14" s="23">
        <f>SUM(B4:B13)</f>
        <v/>
      </c>
      <c r="C14" s="24">
        <f>SUM(C4:C13)</f>
        <v/>
      </c>
      <c r="D14" s="23" t="n">
        <v>20</v>
      </c>
      <c r="E14" s="23" t="n">
        <v>9</v>
      </c>
      <c r="F14" s="24" t="n">
        <v>433.2</v>
      </c>
      <c r="G14" s="25" t="n">
        <v>189.3721</v>
      </c>
      <c r="H14" s="25" t="n">
        <v>18.4827</v>
      </c>
      <c r="I14" s="25" t="n">
        <v>19.0996</v>
      </c>
      <c r="J14" s="26" t="n">
        <v>0</v>
      </c>
      <c r="K14" s="25" t="n">
        <v>100</v>
      </c>
      <c r="L14" s="25" t="n">
        <v>66.20910000000001</v>
      </c>
      <c r="M14" s="23" t="n">
        <v>42573</v>
      </c>
      <c r="N14" s="26" t="n">
        <v>0.216459</v>
      </c>
      <c r="O14" s="24" t="n">
        <v>425.729364</v>
      </c>
      <c r="P14" s="23" t="n">
        <v>42573</v>
      </c>
      <c r="Q14" s="23" t="inlineStr">
        <is>
          <t>exact</t>
        </is>
      </c>
      <c r="R14" s="23" t="inlineStr">
        <is>
          <t>SELECTED</t>
        </is>
      </c>
    </row>
    <row r="16">
      <c r="A16" s="15" t="inlineStr">
        <is>
          <t>ClusterMinerB   —   Score ESG 19   —   ISO 14001 + ISO 50001   —   blocchi proposti 2</t>
        </is>
      </c>
    </row>
    <row r="17">
      <c r="A17" s="6" t="inlineStr">
        <is>
          <t xml:space="preserve">    Azienda 1</t>
        </is>
      </c>
      <c r="B17" s="5" t="n">
        <v>11</v>
      </c>
      <c r="C17" s="16" t="n">
        <v>1.76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9</v>
      </c>
      <c r="C18" s="16" t="n">
        <v>0.9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10</v>
      </c>
      <c r="C19" s="16" t="n">
        <v>1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8</v>
      </c>
      <c r="C20" s="16" t="n">
        <v>0.88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7</v>
      </c>
      <c r="C21" s="16" t="n">
        <v>0.91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7</v>
      </c>
      <c r="C22" s="16" t="n">
        <v>0.91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10</v>
      </c>
      <c r="C23" s="16" t="n">
        <v>1.8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8</v>
      </c>
      <c r="C24" s="16" t="n">
        <v>1.52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9</v>
      </c>
      <c r="C25" s="16" t="n">
        <v>0.9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10</v>
      </c>
      <c r="C26" s="16" t="n">
        <v>1.8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15</v>
      </c>
      <c r="F27" s="18" t="n">
        <v>520.22</v>
      </c>
      <c r="G27" s="19" t="n">
        <v>227.4126</v>
      </c>
      <c r="H27" s="19" t="n">
        <v>22.1955</v>
      </c>
      <c r="I27" s="19" t="n">
        <v>23.0681</v>
      </c>
      <c r="J27" s="20" t="n">
        <v>2.6249</v>
      </c>
      <c r="K27" s="19" t="n">
        <v>89.78360000000001</v>
      </c>
      <c r="L27" s="19" t="n">
        <v>74.6275</v>
      </c>
      <c r="M27" s="17" t="n">
        <v>48569</v>
      </c>
      <c r="N27" s="20" t="n">
        <v>0.246946</v>
      </c>
      <c r="O27" s="18" t="n">
        <v>485.685658</v>
      </c>
      <c r="P27" s="17" t="n">
        <v>48569</v>
      </c>
      <c r="Q27" s="17" t="inlineStr">
        <is>
          <t>exact</t>
        </is>
      </c>
      <c r="R27" s="17" t="inlineStr"/>
    </row>
    <row r="29">
      <c r="A29" s="15" t="inlineStr">
        <is>
          <t>ClusterMinerC   —   Score ESG 13   —   ISO 9001   —   blocchi proposti 0</t>
        </is>
      </c>
    </row>
    <row r="30">
      <c r="A30" s="6" t="inlineStr">
        <is>
          <t xml:space="preserve">    Azienda 1</t>
        </is>
      </c>
      <c r="B30" s="5" t="n">
        <v>11</v>
      </c>
      <c r="C30" s="16" t="n">
        <v>2.2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10</v>
      </c>
      <c r="C31" s="16" t="n">
        <v>1.8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14</v>
      </c>
      <c r="C32" s="16" t="n">
        <v>2.24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6</v>
      </c>
      <c r="C33" s="16" t="n">
        <v>0.78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13</v>
      </c>
      <c r="C34" s="16" t="n">
        <v>2.21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13</v>
      </c>
      <c r="C35" s="16" t="n">
        <v>2.47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9</v>
      </c>
      <c r="C36" s="16" t="n">
        <v>1.26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12</v>
      </c>
      <c r="C37" s="16" t="n">
        <v>1.2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11</v>
      </c>
      <c r="C38" s="16" t="n">
        <v>1.32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11</v>
      </c>
      <c r="C39" s="16" t="n">
        <v>1.76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17</v>
      </c>
      <c r="F40" s="18" t="n">
        <v>445.12</v>
      </c>
      <c r="G40" s="19" t="n">
        <v>194.5829</v>
      </c>
      <c r="H40" s="19" t="n">
        <v>18.9913</v>
      </c>
      <c r="I40" s="19" t="n">
        <v>18.3113</v>
      </c>
      <c r="J40" s="20" t="n">
        <v>5.513</v>
      </c>
      <c r="K40" s="19" t="n">
        <v>76.85980000000001</v>
      </c>
      <c r="L40" s="19" t="n">
        <v>56.491</v>
      </c>
      <c r="M40" s="17" t="n">
        <v>39763</v>
      </c>
      <c r="N40" s="20" t="n">
        <v>0.202172</v>
      </c>
      <c r="O40" s="18" t="n">
        <v>397.628401</v>
      </c>
      <c r="P40" s="17" t="n">
        <v>39763</v>
      </c>
      <c r="Q40" s="17" t="inlineStr">
        <is>
          <t>exact</t>
        </is>
      </c>
      <c r="R40" s="17" t="inlineStr"/>
    </row>
    <row r="42">
      <c r="A42" s="15" t="inlineStr">
        <is>
          <t>ClusterMinerD   —   Score ESG 15   —   ISO 14001   —   blocchi proposti 1</t>
        </is>
      </c>
    </row>
    <row r="43">
      <c r="A43" s="6" t="inlineStr">
        <is>
          <t xml:space="preserve">    Azienda 1</t>
        </is>
      </c>
      <c r="B43" s="5" t="n">
        <v>10</v>
      </c>
      <c r="C43" s="16" t="n">
        <v>1.4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9</v>
      </c>
      <c r="C44" s="16" t="n">
        <v>1.08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8</v>
      </c>
      <c r="C45" s="16" t="n">
        <v>1.04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12</v>
      </c>
      <c r="C46" s="16" t="n">
        <v>1.8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11</v>
      </c>
      <c r="C47" s="16" t="n">
        <v>1.21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6</v>
      </c>
      <c r="C48" s="16" t="n">
        <v>0.66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8</v>
      </c>
      <c r="C49" s="16" t="n">
        <v>1.28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10</v>
      </c>
      <c r="C50" s="16" t="n">
        <v>1.1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12</v>
      </c>
      <c r="C51" s="16" t="n">
        <v>1.8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7</v>
      </c>
      <c r="C52" s="16" t="n">
        <v>1.05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9</v>
      </c>
      <c r="F53" s="18" t="n">
        <v>321.3</v>
      </c>
      <c r="G53" s="19" t="n">
        <v>140.4553</v>
      </c>
      <c r="H53" s="19" t="n">
        <v>13.7084</v>
      </c>
      <c r="I53" s="19" t="n">
        <v>13.1467</v>
      </c>
      <c r="J53" s="20" t="n">
        <v>9.789199999999999</v>
      </c>
      <c r="K53" s="19" t="n">
        <v>57.3193</v>
      </c>
      <c r="L53" s="19" t="n">
        <v>48.1268</v>
      </c>
      <c r="M53" s="17" t="n">
        <v>25602</v>
      </c>
      <c r="N53" s="20" t="n">
        <v>0.130171</v>
      </c>
      <c r="O53" s="18" t="n">
        <v>256.022297</v>
      </c>
      <c r="P53" s="17" t="n">
        <v>25602</v>
      </c>
      <c r="Q53" s="17" t="inlineStr">
        <is>
          <t>exact</t>
        </is>
      </c>
      <c r="R53" s="17" t="inlineStr"/>
    </row>
    <row r="55">
      <c r="A55" s="15" t="inlineStr">
        <is>
          <t>ClusterMinerE   —   Score ESG 19   —   non certificato   —   blocchi proposti 0</t>
        </is>
      </c>
    </row>
    <row r="56">
      <c r="A56" s="6" t="inlineStr">
        <is>
          <t xml:space="preserve">    Azienda 1</t>
        </is>
      </c>
      <c r="B56" s="5" t="n">
        <v>10</v>
      </c>
      <c r="C56" s="16" t="n">
        <v>1.4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10</v>
      </c>
      <c r="C57" s="16" t="n">
        <v>1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9</v>
      </c>
      <c r="C58" s="16" t="n">
        <v>1.53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9</v>
      </c>
      <c r="C59" s="16" t="n">
        <v>1.62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10</v>
      </c>
      <c r="C60" s="16" t="n">
        <v>1.1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13</v>
      </c>
      <c r="C61" s="16" t="n">
        <v>2.08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11</v>
      </c>
      <c r="C62" s="16" t="n">
        <v>1.21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12</v>
      </c>
      <c r="C63" s="16" t="n">
        <v>2.16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7</v>
      </c>
      <c r="C64" s="16" t="n">
        <v>0.98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9</v>
      </c>
      <c r="C65" s="16" t="n">
        <v>1.8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15</v>
      </c>
      <c r="F66" s="18" t="n">
        <v>567.72</v>
      </c>
      <c r="G66" s="19" t="n">
        <v>248.1771</v>
      </c>
      <c r="H66" s="19" t="n">
        <v>24.2221</v>
      </c>
      <c r="I66" s="19" t="n">
        <v>19.2844</v>
      </c>
      <c r="J66" s="20" t="n">
        <v>30.9015</v>
      </c>
      <c r="K66" s="19" t="n">
        <v>38.4259</v>
      </c>
      <c r="L66" s="19" t="n">
        <v>81.9455</v>
      </c>
      <c r="M66" s="17" t="n">
        <v>40172</v>
      </c>
      <c r="N66" s="20" t="n">
        <v>0.204252</v>
      </c>
      <c r="O66" s="18" t="n">
        <v>401.716268</v>
      </c>
      <c r="P66" s="17" t="n">
        <v>40172</v>
      </c>
      <c r="Q66" s="17" t="inlineStr">
        <is>
          <t>exact</t>
        </is>
      </c>
      <c r="R66" s="17" t="inlineStr"/>
    </row>
    <row r="68">
      <c r="A68" s="1" t="inlineStr">
        <is>
          <t>TOTALI EPOCH 11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97.59999999999999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9</v>
      </c>
      <c r="E74" s="12" t="n">
        <v>18.4827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15</v>
      </c>
      <c r="E75" s="12" t="n">
        <v>22.1955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17</v>
      </c>
      <c r="E76" s="12" t="n">
        <v>18.9913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9</v>
      </c>
      <c r="E77" s="12" t="n">
        <v>13.7084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15</v>
      </c>
      <c r="E78" s="12" t="n">
        <v>24.2221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12  —  modalita wpoa  —  proposer ClusterMinerA (wpoa-weighted)  —  Theta (Tot Tx azienda) 795  —  monte premi alpha×Theta = 159.00 €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21" t="inlineStr">
        <is>
          <t>ClusterMinerA   —   Score ESG 20   —   ISO 14001   —   blocchi proposti 2</t>
        </is>
      </c>
    </row>
    <row r="4">
      <c r="A4" s="6" t="inlineStr">
        <is>
          <t xml:space="preserve">    Azienda 1</t>
        </is>
      </c>
      <c r="B4" s="5" t="n">
        <v>15</v>
      </c>
      <c r="C4" s="16" t="n">
        <v>1.65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12</v>
      </c>
      <c r="C5" s="16" t="n">
        <v>1.2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11</v>
      </c>
      <c r="C6" s="16" t="n">
        <v>1.54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10</v>
      </c>
      <c r="C7" s="16" t="n">
        <v>1.3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15</v>
      </c>
      <c r="C8" s="16" t="n">
        <v>1.95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21</v>
      </c>
      <c r="C9" s="16" t="n">
        <v>2.52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17</v>
      </c>
      <c r="C10" s="16" t="n">
        <v>1.87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15</v>
      </c>
      <c r="C11" s="16" t="n">
        <v>3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15</v>
      </c>
      <c r="C12" s="16" t="n">
        <v>2.7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15</v>
      </c>
      <c r="C13" s="16" t="n">
        <v>1.65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22" t="inlineStr">
        <is>
          <t>TOTALE ClusterMinerA</t>
        </is>
      </c>
      <c r="B14" s="23">
        <f>SUM(B4:B13)</f>
        <v/>
      </c>
      <c r="C14" s="24">
        <f>SUM(C4:C13)</f>
        <v/>
      </c>
      <c r="D14" s="23" t="n">
        <v>20</v>
      </c>
      <c r="E14" s="23" t="n">
        <v>21</v>
      </c>
      <c r="F14" s="24" t="n">
        <v>807.6</v>
      </c>
      <c r="G14" s="25" t="n">
        <v>222.3354</v>
      </c>
      <c r="H14" s="25" t="n">
        <v>35.3513</v>
      </c>
      <c r="I14" s="25" t="n">
        <v>33.6261</v>
      </c>
      <c r="J14" s="26" t="n">
        <v>1.7252</v>
      </c>
      <c r="K14" s="25" t="n">
        <v>95.1198</v>
      </c>
      <c r="L14" s="25" t="n">
        <v>101.5604</v>
      </c>
      <c r="M14" s="23" t="n">
        <v>80760</v>
      </c>
      <c r="N14" s="26" t="n">
        <v>0.25649</v>
      </c>
      <c r="O14" s="24" t="n">
        <v>807.6</v>
      </c>
      <c r="P14" s="23" t="n">
        <v>80760</v>
      </c>
      <c r="Q14" s="23" t="inlineStr">
        <is>
          <t>exact</t>
        </is>
      </c>
      <c r="R14" s="23" t="inlineStr">
        <is>
          <t>SELECTED</t>
        </is>
      </c>
    </row>
    <row r="16">
      <c r="A16" s="15" t="inlineStr">
        <is>
          <t>ClusterMinerB   —   Score ESG 19   —   ISO 14001 + ISO 50001   —   blocchi proposti 1</t>
        </is>
      </c>
    </row>
    <row r="17">
      <c r="A17" s="6" t="inlineStr">
        <is>
          <t xml:space="preserve">    Azienda 1</t>
        </is>
      </c>
      <c r="B17" s="5" t="n">
        <v>13</v>
      </c>
      <c r="C17" s="16" t="n">
        <v>2.08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15</v>
      </c>
      <c r="C18" s="16" t="n">
        <v>1.5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15</v>
      </c>
      <c r="C19" s="16" t="n">
        <v>1.5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16</v>
      </c>
      <c r="C20" s="16" t="n">
        <v>1.76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17</v>
      </c>
      <c r="C21" s="16" t="n">
        <v>2.21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16</v>
      </c>
      <c r="C22" s="16" t="n">
        <v>2.08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19</v>
      </c>
      <c r="C23" s="16" t="n">
        <v>3.42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13</v>
      </c>
      <c r="C24" s="16" t="n">
        <v>2.47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13</v>
      </c>
      <c r="C25" s="16" t="n">
        <v>1.3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17</v>
      </c>
      <c r="C26" s="16" t="n">
        <v>3.06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21</v>
      </c>
      <c r="F27" s="18" t="n">
        <v>805.22</v>
      </c>
      <c r="G27" s="19" t="n">
        <v>221.6802</v>
      </c>
      <c r="H27" s="19" t="n">
        <v>35.2471</v>
      </c>
      <c r="I27" s="19" t="n">
        <v>34.3411</v>
      </c>
      <c r="J27" s="20" t="n">
        <v>3.5309</v>
      </c>
      <c r="K27" s="19" t="n">
        <v>90.6768</v>
      </c>
      <c r="L27" s="19" t="n">
        <v>109.8746</v>
      </c>
      <c r="M27" s="17" t="n">
        <v>76409</v>
      </c>
      <c r="N27" s="20" t="n">
        <v>0.242671</v>
      </c>
      <c r="O27" s="18" t="n">
        <v>764.087747</v>
      </c>
      <c r="P27" s="17" t="n">
        <v>76409</v>
      </c>
      <c r="Q27" s="17" t="inlineStr">
        <is>
          <t>exact</t>
        </is>
      </c>
      <c r="R27" s="17" t="inlineStr"/>
    </row>
    <row r="29">
      <c r="A29" s="15" t="inlineStr">
        <is>
          <t>ClusterMinerC   —   Score ESG 13   —   ISO 9001   —   blocchi proposti 2</t>
        </is>
      </c>
    </row>
    <row r="30">
      <c r="A30" s="6" t="inlineStr">
        <is>
          <t xml:space="preserve">    Azienda 1</t>
        </is>
      </c>
      <c r="B30" s="5" t="n">
        <v>18</v>
      </c>
      <c r="C30" s="16" t="n">
        <v>3.6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15</v>
      </c>
      <c r="C31" s="16" t="n">
        <v>2.7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22</v>
      </c>
      <c r="C32" s="16" t="n">
        <v>3.52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12</v>
      </c>
      <c r="C33" s="16" t="n">
        <v>1.56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15</v>
      </c>
      <c r="C34" s="16" t="n">
        <v>2.55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16</v>
      </c>
      <c r="C35" s="16" t="n">
        <v>3.04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18</v>
      </c>
      <c r="C36" s="16" t="n">
        <v>2.52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23</v>
      </c>
      <c r="C37" s="16" t="n">
        <v>2.3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15</v>
      </c>
      <c r="C38" s="16" t="n">
        <v>1.8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15</v>
      </c>
      <c r="C39" s="16" t="n">
        <v>2.4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25</v>
      </c>
      <c r="F40" s="18" t="n">
        <v>662.87</v>
      </c>
      <c r="G40" s="19" t="n">
        <v>182.4907</v>
      </c>
      <c r="H40" s="19" t="n">
        <v>29.016</v>
      </c>
      <c r="I40" s="19" t="n">
        <v>24.9494</v>
      </c>
      <c r="J40" s="20" t="n">
        <v>9.579599999999999</v>
      </c>
      <c r="K40" s="19" t="n">
        <v>72.2564</v>
      </c>
      <c r="L40" s="19" t="n">
        <v>85.50700000000001</v>
      </c>
      <c r="M40" s="17" t="n">
        <v>58618</v>
      </c>
      <c r="N40" s="20" t="n">
        <v>0.186168</v>
      </c>
      <c r="O40" s="18" t="n">
        <v>586.175148</v>
      </c>
      <c r="P40" s="17" t="n">
        <v>58618</v>
      </c>
      <c r="Q40" s="17" t="inlineStr">
        <is>
          <t>exact</t>
        </is>
      </c>
      <c r="R40" s="17" t="inlineStr"/>
    </row>
    <row r="42">
      <c r="A42" s="15" t="inlineStr">
        <is>
          <t>ClusterMinerD   —   Score ESG 15   —   ISO 14001   —   blocchi proposti 1</t>
        </is>
      </c>
    </row>
    <row r="43">
      <c r="A43" s="6" t="inlineStr">
        <is>
          <t xml:space="preserve">    Azienda 1</t>
        </is>
      </c>
      <c r="B43" s="5" t="n">
        <v>16</v>
      </c>
      <c r="C43" s="16" t="n">
        <v>2.24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15</v>
      </c>
      <c r="C44" s="16" t="n">
        <v>1.8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19</v>
      </c>
      <c r="C45" s="16" t="n">
        <v>2.47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21</v>
      </c>
      <c r="C46" s="16" t="n">
        <v>3.15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13</v>
      </c>
      <c r="C47" s="16" t="n">
        <v>1.43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15</v>
      </c>
      <c r="C48" s="16" t="n">
        <v>1.65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14</v>
      </c>
      <c r="C49" s="16" t="n">
        <v>2.24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18</v>
      </c>
      <c r="C50" s="16" t="n">
        <v>1.98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14</v>
      </c>
      <c r="C51" s="16" t="n">
        <v>2.1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10</v>
      </c>
      <c r="C52" s="16" t="n">
        <v>1.5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16</v>
      </c>
      <c r="F53" s="18" t="n">
        <v>548.4</v>
      </c>
      <c r="G53" s="19" t="n">
        <v>150.9766</v>
      </c>
      <c r="H53" s="19" t="n">
        <v>24.0053</v>
      </c>
      <c r="I53" s="19" t="n">
        <v>19.9916</v>
      </c>
      <c r="J53" s="20" t="n">
        <v>13.8029</v>
      </c>
      <c r="K53" s="19" t="n">
        <v>59.1564</v>
      </c>
      <c r="L53" s="19" t="n">
        <v>72.13209999999999</v>
      </c>
      <c r="M53" s="17" t="n">
        <v>43137</v>
      </c>
      <c r="N53" s="20" t="n">
        <v>0.137001</v>
      </c>
      <c r="O53" s="18" t="n">
        <v>431.369553</v>
      </c>
      <c r="P53" s="17" t="n">
        <v>43137</v>
      </c>
      <c r="Q53" s="17" t="inlineStr">
        <is>
          <t>exact</t>
        </is>
      </c>
      <c r="R53" s="17" t="inlineStr"/>
    </row>
    <row r="55">
      <c r="A55" s="15" t="inlineStr">
        <is>
          <t>ClusterMinerE   —   Score ESG 19   —   non certificato   —   blocchi proposti 0</t>
        </is>
      </c>
    </row>
    <row r="56">
      <c r="A56" s="6" t="inlineStr">
        <is>
          <t xml:space="preserve">    Azienda 1</t>
        </is>
      </c>
      <c r="B56" s="5" t="n">
        <v>20</v>
      </c>
      <c r="C56" s="16" t="n">
        <v>2.8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16</v>
      </c>
      <c r="C57" s="16" t="n">
        <v>1.6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17</v>
      </c>
      <c r="C58" s="16" t="n">
        <v>2.89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18</v>
      </c>
      <c r="C59" s="16" t="n">
        <v>3.24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20</v>
      </c>
      <c r="C60" s="16" t="n">
        <v>2.2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17</v>
      </c>
      <c r="C61" s="16" t="n">
        <v>2.72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17</v>
      </c>
      <c r="C62" s="16" t="n">
        <v>1.87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16</v>
      </c>
      <c r="C63" s="16" t="n">
        <v>2.88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11</v>
      </c>
      <c r="C64" s="16" t="n">
        <v>1.54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19</v>
      </c>
      <c r="C65" s="16" t="n">
        <v>3.8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17</v>
      </c>
      <c r="F66" s="18" t="n">
        <v>808.26</v>
      </c>
      <c r="G66" s="19" t="n">
        <v>222.5171</v>
      </c>
      <c r="H66" s="19" t="n">
        <v>35.3802</v>
      </c>
      <c r="I66" s="19" t="n">
        <v>26.8969</v>
      </c>
      <c r="J66" s="20" t="n">
        <v>39.3848</v>
      </c>
      <c r="K66" s="19" t="n">
        <v>40.5797</v>
      </c>
      <c r="L66" s="19" t="n">
        <v>117.3257</v>
      </c>
      <c r="M66" s="17" t="n">
        <v>55942</v>
      </c>
      <c r="N66" s="20" t="n">
        <v>0.177669</v>
      </c>
      <c r="O66" s="18" t="n">
        <v>559.420721</v>
      </c>
      <c r="P66" s="17" t="n">
        <v>55942</v>
      </c>
      <c r="Q66" s="17" t="inlineStr">
        <is>
          <t>exact</t>
        </is>
      </c>
      <c r="R66" s="17" t="inlineStr"/>
    </row>
    <row r="68">
      <c r="A68" s="1" t="inlineStr">
        <is>
          <t>TOTALI EPOCH 12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159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21</v>
      </c>
      <c r="E74" s="12" t="n">
        <v>35.3513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21</v>
      </c>
      <c r="E75" s="12" t="n">
        <v>35.2471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25</v>
      </c>
      <c r="E76" s="12" t="n">
        <v>29.016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16</v>
      </c>
      <c r="E77" s="12" t="n">
        <v>24.0053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17</v>
      </c>
      <c r="E78" s="12" t="n">
        <v>35.3802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13  —  modalita wpoa  —  proposer ClusterMinerE (wpoa-weighted)  —  Theta (Tot Tx azienda) 627  —  monte premi alpha×Theta = 125.40 €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0</t>
        </is>
      </c>
    </row>
    <row r="4">
      <c r="A4" s="6" t="inlineStr">
        <is>
          <t xml:space="preserve">    Azienda 1</t>
        </is>
      </c>
      <c r="B4" s="5" t="n">
        <v>13</v>
      </c>
      <c r="C4" s="16" t="n">
        <v>1.43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10</v>
      </c>
      <c r="C5" s="16" t="n">
        <v>1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12</v>
      </c>
      <c r="C6" s="16" t="n">
        <v>1.68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13</v>
      </c>
      <c r="C7" s="16" t="n">
        <v>1.69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14</v>
      </c>
      <c r="C8" s="16" t="n">
        <v>1.82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10</v>
      </c>
      <c r="C9" s="16" t="n">
        <v>1.2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12</v>
      </c>
      <c r="C10" s="16" t="n">
        <v>1.32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11</v>
      </c>
      <c r="C11" s="16" t="n">
        <v>2.2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10</v>
      </c>
      <c r="C12" s="16" t="n">
        <v>1.8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9</v>
      </c>
      <c r="C13" s="16" t="n">
        <v>0.99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20</v>
      </c>
      <c r="F14" s="18" t="n">
        <v>702.6</v>
      </c>
      <c r="G14" s="19" t="n">
        <v>228.4365</v>
      </c>
      <c r="H14" s="19" t="n">
        <v>28.6459</v>
      </c>
      <c r="I14" s="19" t="n">
        <v>29.643</v>
      </c>
      <c r="J14" s="20" t="n">
        <v>0.7281</v>
      </c>
      <c r="K14" s="19" t="n">
        <v>97.6027</v>
      </c>
      <c r="L14" s="19" t="n">
        <v>130.2063</v>
      </c>
      <c r="M14" s="17" t="n">
        <v>68546</v>
      </c>
      <c r="N14" s="20" t="n">
        <v>0.259379</v>
      </c>
      <c r="O14" s="18" t="n">
        <v>685.455998</v>
      </c>
      <c r="P14" s="17" t="n">
        <v>68546</v>
      </c>
      <c r="Q14" s="17" t="inlineStr">
        <is>
          <t>exact</t>
        </is>
      </c>
      <c r="R14" s="17" t="inlineStr"/>
    </row>
    <row r="16">
      <c r="A16" s="15" t="inlineStr">
        <is>
          <t>ClusterMinerB   —   Score ESG 19   —   ISO 14001 + ISO 50001   —   blocchi proposti 0</t>
        </is>
      </c>
    </row>
    <row r="17">
      <c r="A17" s="6" t="inlineStr">
        <is>
          <t xml:space="preserve">    Azienda 1</t>
        </is>
      </c>
      <c r="B17" s="5" t="n">
        <v>13</v>
      </c>
      <c r="C17" s="16" t="n">
        <v>2.08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13</v>
      </c>
      <c r="C18" s="16" t="n">
        <v>1.3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10</v>
      </c>
      <c r="C19" s="16" t="n">
        <v>1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15</v>
      </c>
      <c r="C20" s="16" t="n">
        <v>1.65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15</v>
      </c>
      <c r="C21" s="16" t="n">
        <v>1.95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13</v>
      </c>
      <c r="C22" s="16" t="n">
        <v>1.69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11</v>
      </c>
      <c r="C23" s="16" t="n">
        <v>1.98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13</v>
      </c>
      <c r="C24" s="16" t="n">
        <v>2.47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14</v>
      </c>
      <c r="C25" s="16" t="n">
        <v>1.4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10</v>
      </c>
      <c r="C26" s="16" t="n">
        <v>1.8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16</v>
      </c>
      <c r="F27" s="18" t="n">
        <v>633.08</v>
      </c>
      <c r="G27" s="19" t="n">
        <v>205.8335</v>
      </c>
      <c r="H27" s="19" t="n">
        <v>25.8115</v>
      </c>
      <c r="I27" s="19" t="n">
        <v>26.2644</v>
      </c>
      <c r="J27" s="20" t="n">
        <v>3.078</v>
      </c>
      <c r="K27" s="19" t="n">
        <v>89.51009999999999</v>
      </c>
      <c r="L27" s="19" t="n">
        <v>135.6861</v>
      </c>
      <c r="M27" s="17" t="n">
        <v>60357</v>
      </c>
      <c r="N27" s="20" t="n">
        <v>0.228391</v>
      </c>
      <c r="O27" s="18" t="n">
        <v>603.5681949999999</v>
      </c>
      <c r="P27" s="17" t="n">
        <v>60357</v>
      </c>
      <c r="Q27" s="17" t="inlineStr">
        <is>
          <t>exact</t>
        </is>
      </c>
      <c r="R27" s="17" t="inlineStr"/>
    </row>
    <row r="29">
      <c r="A29" s="15" t="inlineStr">
        <is>
          <t>ClusterMinerC   —   Score ESG 13   —   ISO 9001   —   blocchi proposti 1</t>
        </is>
      </c>
    </row>
    <row r="30">
      <c r="A30" s="6" t="inlineStr">
        <is>
          <t xml:space="preserve">    Azienda 1</t>
        </is>
      </c>
      <c r="B30" s="5" t="n">
        <v>12</v>
      </c>
      <c r="C30" s="16" t="n">
        <v>2.4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13</v>
      </c>
      <c r="C31" s="16" t="n">
        <v>2.34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16</v>
      </c>
      <c r="C32" s="16" t="n">
        <v>2.56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8</v>
      </c>
      <c r="C33" s="16" t="n">
        <v>1.04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14</v>
      </c>
      <c r="C34" s="16" t="n">
        <v>2.38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17</v>
      </c>
      <c r="C35" s="16" t="n">
        <v>3.23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13</v>
      </c>
      <c r="C36" s="16" t="n">
        <v>1.82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11</v>
      </c>
      <c r="C37" s="16" t="n">
        <v>1.1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10</v>
      </c>
      <c r="C38" s="16" t="n">
        <v>1.2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9</v>
      </c>
      <c r="C39" s="16" t="n">
        <v>1.44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18</v>
      </c>
      <c r="F40" s="18" t="n">
        <v>487.63</v>
      </c>
      <c r="G40" s="19" t="n">
        <v>158.5433</v>
      </c>
      <c r="H40" s="19" t="n">
        <v>19.8813</v>
      </c>
      <c r="I40" s="19" t="n">
        <v>21.0955</v>
      </c>
      <c r="J40" s="20" t="n">
        <v>8.365399999999999</v>
      </c>
      <c r="K40" s="19" t="n">
        <v>71.60509999999999</v>
      </c>
      <c r="L40" s="19" t="n">
        <v>105.3883</v>
      </c>
      <c r="M40" s="17" t="n">
        <v>41999</v>
      </c>
      <c r="N40" s="20" t="n">
        <v>0.158925</v>
      </c>
      <c r="O40" s="18" t="n">
        <v>419.986854</v>
      </c>
      <c r="P40" s="17" t="n">
        <v>41999</v>
      </c>
      <c r="Q40" s="17" t="inlineStr">
        <is>
          <t>exact</t>
        </is>
      </c>
      <c r="R40" s="17" t="inlineStr"/>
    </row>
    <row r="42">
      <c r="A42" s="15" t="inlineStr">
        <is>
          <t>ClusterMinerD   —   Score ESG 15   —   ISO 14001   —   blocchi proposti 2</t>
        </is>
      </c>
    </row>
    <row r="43">
      <c r="A43" s="6" t="inlineStr">
        <is>
          <t xml:space="preserve">    Azienda 1</t>
        </is>
      </c>
      <c r="B43" s="5" t="n">
        <v>17</v>
      </c>
      <c r="C43" s="16" t="n">
        <v>2.38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13</v>
      </c>
      <c r="C44" s="16" t="n">
        <v>1.56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13</v>
      </c>
      <c r="C45" s="16" t="n">
        <v>1.69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15</v>
      </c>
      <c r="C46" s="16" t="n">
        <v>2.25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15</v>
      </c>
      <c r="C47" s="16" t="n">
        <v>1.65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13</v>
      </c>
      <c r="C48" s="16" t="n">
        <v>1.43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15</v>
      </c>
      <c r="C49" s="16" t="n">
        <v>2.4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15</v>
      </c>
      <c r="C50" s="16" t="n">
        <v>1.65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8</v>
      </c>
      <c r="C51" s="16" t="n">
        <v>1.2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14</v>
      </c>
      <c r="C52" s="16" t="n">
        <v>2.1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20</v>
      </c>
      <c r="F53" s="18" t="n">
        <v>574.65</v>
      </c>
      <c r="G53" s="19" t="n">
        <v>186.8361</v>
      </c>
      <c r="H53" s="19" t="n">
        <v>23.4293</v>
      </c>
      <c r="I53" s="19" t="n">
        <v>22.1601</v>
      </c>
      <c r="J53" s="20" t="n">
        <v>15.0721</v>
      </c>
      <c r="K53" s="19" t="n">
        <v>59.5186</v>
      </c>
      <c r="L53" s="19" t="n">
        <v>95.56140000000001</v>
      </c>
      <c r="M53" s="17" t="n">
        <v>45730</v>
      </c>
      <c r="N53" s="20" t="n">
        <v>0.173043</v>
      </c>
      <c r="O53" s="18" t="n">
        <v>457.296045</v>
      </c>
      <c r="P53" s="17" t="n">
        <v>45730</v>
      </c>
      <c r="Q53" s="17" t="inlineStr">
        <is>
          <t>exact</t>
        </is>
      </c>
      <c r="R53" s="17" t="inlineStr"/>
    </row>
    <row r="55">
      <c r="A55" s="21" t="inlineStr">
        <is>
          <t>ClusterMinerE   —   Score ESG 19   —   non certificato   —   blocchi proposti 3</t>
        </is>
      </c>
    </row>
    <row r="56">
      <c r="A56" s="6" t="inlineStr">
        <is>
          <t xml:space="preserve">    Azienda 1</t>
        </is>
      </c>
      <c r="B56" s="5" t="n">
        <v>12</v>
      </c>
      <c r="C56" s="16" t="n">
        <v>1.68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9</v>
      </c>
      <c r="C57" s="16" t="n">
        <v>0.9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12</v>
      </c>
      <c r="C58" s="16" t="n">
        <v>2.04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17</v>
      </c>
      <c r="C59" s="16" t="n">
        <v>3.06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16</v>
      </c>
      <c r="C60" s="16" t="n">
        <v>1.76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9</v>
      </c>
      <c r="C61" s="16" t="n">
        <v>1.44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15</v>
      </c>
      <c r="C62" s="16" t="n">
        <v>1.65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13</v>
      </c>
      <c r="C63" s="16" t="n">
        <v>2.34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10</v>
      </c>
      <c r="C64" s="16" t="n">
        <v>1.4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12</v>
      </c>
      <c r="C65" s="16" t="n">
        <v>2.4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22" t="inlineStr">
        <is>
          <t>TOTALE ClusterMinerE</t>
        </is>
      </c>
      <c r="B66" s="23">
        <f>SUM(B56:B65)</f>
        <v/>
      </c>
      <c r="C66" s="24">
        <f>SUM(C56:C65)</f>
        <v/>
      </c>
      <c r="D66" s="23" t="n">
        <v>19</v>
      </c>
      <c r="E66" s="23" t="n">
        <v>17</v>
      </c>
      <c r="F66" s="24" t="n">
        <v>677.73</v>
      </c>
      <c r="G66" s="25" t="n">
        <v>220.3506</v>
      </c>
      <c r="H66" s="25" t="n">
        <v>27.632</v>
      </c>
      <c r="I66" s="25" t="n">
        <v>27.4375</v>
      </c>
      <c r="J66" s="26" t="n">
        <v>39.5793</v>
      </c>
      <c r="K66" s="25" t="n">
        <v>40.9412</v>
      </c>
      <c r="L66" s="25" t="n">
        <v>144.9577</v>
      </c>
      <c r="M66" s="23" t="n">
        <v>47638</v>
      </c>
      <c r="N66" s="26" t="n">
        <v>0.180263</v>
      </c>
      <c r="O66" s="24" t="n">
        <v>476.375324</v>
      </c>
      <c r="P66" s="23" t="n">
        <v>47638</v>
      </c>
      <c r="Q66" s="23" t="inlineStr">
        <is>
          <t>exact</t>
        </is>
      </c>
      <c r="R66" s="23" t="inlineStr">
        <is>
          <t>SELECTED</t>
        </is>
      </c>
    </row>
    <row r="68">
      <c r="A68" s="1" t="inlineStr">
        <is>
          <t>TOTALI EPOCH 13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125.4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20</v>
      </c>
      <c r="E74" s="12" t="n">
        <v>28.6459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16</v>
      </c>
      <c r="E75" s="12" t="n">
        <v>25.8115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18</v>
      </c>
      <c r="E76" s="12" t="n">
        <v>19.8813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20</v>
      </c>
      <c r="E77" s="12" t="n">
        <v>23.4293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17</v>
      </c>
      <c r="E78" s="12" t="n">
        <v>27.632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14  —  modalita wpoa  —  proposer ClusterMinerE (wpoa-weighted)  —  Theta (Tot Tx azienda) 499  —  monte premi alpha×Theta = 99.80 €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1</t>
        </is>
      </c>
    </row>
    <row r="4">
      <c r="A4" s="6" t="inlineStr">
        <is>
          <t xml:space="preserve">    Azienda 1</t>
        </is>
      </c>
      <c r="B4" s="5" t="n">
        <v>12</v>
      </c>
      <c r="C4" s="16" t="n">
        <v>1.32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9</v>
      </c>
      <c r="C5" s="16" t="n">
        <v>0.9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8</v>
      </c>
      <c r="C6" s="16" t="n">
        <v>1.12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8</v>
      </c>
      <c r="C7" s="16" t="n">
        <v>1.04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12</v>
      </c>
      <c r="C8" s="16" t="n">
        <v>1.56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10</v>
      </c>
      <c r="C9" s="16" t="n">
        <v>1.2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7</v>
      </c>
      <c r="C10" s="16" t="n">
        <v>0.77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12</v>
      </c>
      <c r="C11" s="16" t="n">
        <v>2.4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8</v>
      </c>
      <c r="C12" s="16" t="n">
        <v>1.44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10</v>
      </c>
      <c r="C13" s="16" t="n">
        <v>1.1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14</v>
      </c>
      <c r="F14" s="18" t="n">
        <v>537</v>
      </c>
      <c r="G14" s="19" t="n">
        <v>223.8974</v>
      </c>
      <c r="H14" s="19" t="n">
        <v>22.345</v>
      </c>
      <c r="I14" s="19" t="n">
        <v>22.2952</v>
      </c>
      <c r="J14" s="20" t="n">
        <v>0.7779</v>
      </c>
      <c r="K14" s="19" t="n">
        <v>96.6285</v>
      </c>
      <c r="L14" s="19" t="n">
        <v>152.5513</v>
      </c>
      <c r="M14" s="17" t="n">
        <v>53056</v>
      </c>
      <c r="N14" s="20" t="n">
        <v>0.257727</v>
      </c>
      <c r="O14" s="18" t="n">
        <v>530.563129</v>
      </c>
      <c r="P14" s="17" t="n">
        <v>53056</v>
      </c>
      <c r="Q14" s="17" t="inlineStr">
        <is>
          <t>exact</t>
        </is>
      </c>
      <c r="R14" s="17" t="inlineStr"/>
    </row>
    <row r="16">
      <c r="A16" s="15" t="inlineStr">
        <is>
          <t>ClusterMinerB   —   Score ESG 19   —   ISO 14001 + ISO 50001   —   blocchi proposti 1</t>
        </is>
      </c>
    </row>
    <row r="17">
      <c r="A17" s="6" t="inlineStr">
        <is>
          <t xml:space="preserve">    Azienda 1</t>
        </is>
      </c>
      <c r="B17" s="5" t="n">
        <v>12</v>
      </c>
      <c r="C17" s="16" t="n">
        <v>1.92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12</v>
      </c>
      <c r="C18" s="16" t="n">
        <v>1.2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10</v>
      </c>
      <c r="C19" s="16" t="n">
        <v>1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10</v>
      </c>
      <c r="C20" s="16" t="n">
        <v>1.1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8</v>
      </c>
      <c r="C21" s="16" t="n">
        <v>1.04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11</v>
      </c>
      <c r="C22" s="16" t="n">
        <v>1.43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11</v>
      </c>
      <c r="C23" s="16" t="n">
        <v>1.98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11</v>
      </c>
      <c r="C24" s="16" t="n">
        <v>2.09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13</v>
      </c>
      <c r="C25" s="16" t="n">
        <v>1.3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10</v>
      </c>
      <c r="C26" s="16" t="n">
        <v>1.8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12</v>
      </c>
      <c r="F27" s="18" t="n">
        <v>510.34</v>
      </c>
      <c r="G27" s="19" t="n">
        <v>212.7817</v>
      </c>
      <c r="H27" s="19" t="n">
        <v>21.2356</v>
      </c>
      <c r="I27" s="19" t="n">
        <v>21.2122</v>
      </c>
      <c r="J27" s="20" t="n">
        <v>3.1014</v>
      </c>
      <c r="K27" s="19" t="n">
        <v>87.24420000000001</v>
      </c>
      <c r="L27" s="19" t="n">
        <v>156.9217</v>
      </c>
      <c r="M27" s="17" t="n">
        <v>48357</v>
      </c>
      <c r="N27" s="20" t="n">
        <v>0.234901</v>
      </c>
      <c r="O27" s="18" t="n">
        <v>483.572821</v>
      </c>
      <c r="P27" s="17" t="n">
        <v>48357</v>
      </c>
      <c r="Q27" s="17" t="inlineStr">
        <is>
          <t>exact</t>
        </is>
      </c>
      <c r="R27" s="17" t="inlineStr"/>
    </row>
    <row r="29">
      <c r="A29" s="15" t="inlineStr">
        <is>
          <t>ClusterMinerC   —   Score ESG 13   —   ISO 9001   —   blocchi proposti 1</t>
        </is>
      </c>
    </row>
    <row r="30">
      <c r="A30" s="6" t="inlineStr">
        <is>
          <t xml:space="preserve">    Azienda 1</t>
        </is>
      </c>
      <c r="B30" s="5" t="n">
        <v>11</v>
      </c>
      <c r="C30" s="16" t="n">
        <v>2.2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10</v>
      </c>
      <c r="C31" s="16" t="n">
        <v>1.8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10</v>
      </c>
      <c r="C32" s="16" t="n">
        <v>1.6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7</v>
      </c>
      <c r="C33" s="16" t="n">
        <v>0.91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9</v>
      </c>
      <c r="C34" s="16" t="n">
        <v>1.53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13</v>
      </c>
      <c r="C35" s="16" t="n">
        <v>2.47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8</v>
      </c>
      <c r="C36" s="16" t="n">
        <v>1.12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10</v>
      </c>
      <c r="C37" s="16" t="n">
        <v>1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7</v>
      </c>
      <c r="C38" s="16" t="n">
        <v>0.84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10</v>
      </c>
      <c r="C39" s="16" t="n">
        <v>1.6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12</v>
      </c>
      <c r="F40" s="18" t="n">
        <v>351.91</v>
      </c>
      <c r="G40" s="19" t="n">
        <v>146.7258</v>
      </c>
      <c r="H40" s="19" t="n">
        <v>14.6432</v>
      </c>
      <c r="I40" s="19" t="n">
        <v>17.8617</v>
      </c>
      <c r="J40" s="20" t="n">
        <v>5.1469</v>
      </c>
      <c r="K40" s="19" t="n">
        <v>77.6305</v>
      </c>
      <c r="L40" s="19" t="n">
        <v>120.0315</v>
      </c>
      <c r="M40" s="17" t="n">
        <v>30195</v>
      </c>
      <c r="N40" s="20" t="n">
        <v>0.146677</v>
      </c>
      <c r="O40" s="18" t="n">
        <v>301.947712</v>
      </c>
      <c r="P40" s="17" t="n">
        <v>30195</v>
      </c>
      <c r="Q40" s="17" t="inlineStr">
        <is>
          <t>exact</t>
        </is>
      </c>
      <c r="R40" s="17" t="inlineStr"/>
    </row>
    <row r="42">
      <c r="A42" s="15" t="inlineStr">
        <is>
          <t>ClusterMinerD   —   Score ESG 15   —   ISO 14001   —   blocchi proposti 1</t>
        </is>
      </c>
    </row>
    <row r="43">
      <c r="A43" s="6" t="inlineStr">
        <is>
          <t xml:space="preserve">    Azienda 1</t>
        </is>
      </c>
      <c r="B43" s="5" t="n">
        <v>14</v>
      </c>
      <c r="C43" s="16" t="n">
        <v>1.96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12</v>
      </c>
      <c r="C44" s="16" t="n">
        <v>1.44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9</v>
      </c>
      <c r="C45" s="16" t="n">
        <v>1.17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9</v>
      </c>
      <c r="C46" s="16" t="n">
        <v>1.35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8</v>
      </c>
      <c r="C47" s="16" t="n">
        <v>0.88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10</v>
      </c>
      <c r="C48" s="16" t="n">
        <v>1.1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13</v>
      </c>
      <c r="C49" s="16" t="n">
        <v>2.08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8</v>
      </c>
      <c r="C50" s="16" t="n">
        <v>0.88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11</v>
      </c>
      <c r="C51" s="16" t="n">
        <v>1.65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7</v>
      </c>
      <c r="C52" s="16" t="n">
        <v>1.05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14</v>
      </c>
      <c r="F53" s="18" t="n">
        <v>413.4</v>
      </c>
      <c r="G53" s="19" t="n">
        <v>172.3635</v>
      </c>
      <c r="H53" s="19" t="n">
        <v>17.2019</v>
      </c>
      <c r="I53" s="19" t="n">
        <v>19.9464</v>
      </c>
      <c r="J53" s="20" t="n">
        <v>12.3276</v>
      </c>
      <c r="K53" s="19" t="n">
        <v>61.8033</v>
      </c>
      <c r="L53" s="19" t="n">
        <v>112.7633</v>
      </c>
      <c r="M53" s="17" t="n">
        <v>32973</v>
      </c>
      <c r="N53" s="20" t="n">
        <v>0.160171</v>
      </c>
      <c r="O53" s="18" t="n">
        <v>329.725034</v>
      </c>
      <c r="P53" s="17" t="n">
        <v>32973</v>
      </c>
      <c r="Q53" s="17" t="inlineStr">
        <is>
          <t>exact</t>
        </is>
      </c>
      <c r="R53" s="17" t="inlineStr"/>
    </row>
    <row r="55">
      <c r="A55" s="21" t="inlineStr">
        <is>
          <t>ClusterMinerE   —   Score ESG 19   —   non certificato   —   blocchi proposti 2</t>
        </is>
      </c>
    </row>
    <row r="56">
      <c r="A56" s="6" t="inlineStr">
        <is>
          <t xml:space="preserve">    Azienda 1</t>
        </is>
      </c>
      <c r="B56" s="5" t="n">
        <v>11</v>
      </c>
      <c r="C56" s="16" t="n">
        <v>1.54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8</v>
      </c>
      <c r="C57" s="16" t="n">
        <v>0.8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9</v>
      </c>
      <c r="C58" s="16" t="n">
        <v>1.53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12</v>
      </c>
      <c r="C59" s="16" t="n">
        <v>2.16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10</v>
      </c>
      <c r="C60" s="16" t="n">
        <v>1.1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8</v>
      </c>
      <c r="C61" s="16" t="n">
        <v>1.28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10</v>
      </c>
      <c r="C62" s="16" t="n">
        <v>1.1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11</v>
      </c>
      <c r="C63" s="16" t="n">
        <v>1.98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11</v>
      </c>
      <c r="C64" s="16" t="n">
        <v>1.54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9</v>
      </c>
      <c r="C65" s="16" t="n">
        <v>1.8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22" t="inlineStr">
        <is>
          <t>TOTALE ClusterMinerE</t>
        </is>
      </c>
      <c r="B66" s="23">
        <f>SUM(B56:B65)</f>
        <v/>
      </c>
      <c r="C66" s="24">
        <f>SUM(C56:C65)</f>
        <v/>
      </c>
      <c r="D66" s="23" t="n">
        <v>19</v>
      </c>
      <c r="E66" s="23" t="n">
        <v>16</v>
      </c>
      <c r="F66" s="24" t="n">
        <v>585.77</v>
      </c>
      <c r="G66" s="25" t="n">
        <v>244.2316</v>
      </c>
      <c r="H66" s="25" t="n">
        <v>24.3743</v>
      </c>
      <c r="I66" s="25" t="n">
        <v>26.0123</v>
      </c>
      <c r="J66" s="26" t="n">
        <v>37.9413</v>
      </c>
      <c r="K66" s="25" t="n">
        <v>40.6737</v>
      </c>
      <c r="L66" s="25" t="n">
        <v>169.332</v>
      </c>
      <c r="M66" s="23" t="n">
        <v>41280</v>
      </c>
      <c r="N66" s="26" t="n">
        <v>0.200524</v>
      </c>
      <c r="O66" s="24" t="n">
        <v>412.795712</v>
      </c>
      <c r="P66" s="23" t="n">
        <v>41280</v>
      </c>
      <c r="Q66" s="23" t="inlineStr">
        <is>
          <t>exact</t>
        </is>
      </c>
      <c r="R66" s="23" t="inlineStr">
        <is>
          <t>SELECTED</t>
        </is>
      </c>
    </row>
    <row r="68">
      <c r="A68" s="1" t="inlineStr">
        <is>
          <t>TOTALI EPOCH 14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99.8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14</v>
      </c>
      <c r="E74" s="12" t="n">
        <v>22.345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12</v>
      </c>
      <c r="E75" s="12" t="n">
        <v>21.2356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12</v>
      </c>
      <c r="E76" s="12" t="n">
        <v>14.6432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14</v>
      </c>
      <c r="E77" s="12" t="n">
        <v>17.2019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16</v>
      </c>
      <c r="E78" s="12" t="n">
        <v>24.3743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15  —  modalita wpoa  —  proposer ClusterMinerC (wpoa-weighted)  —  Theta (Tot Tx azienda) 851  —  monte premi alpha×Theta = 170.20 €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2</t>
        </is>
      </c>
    </row>
    <row r="4">
      <c r="A4" s="6" t="inlineStr">
        <is>
          <t xml:space="preserve">    Azienda 1</t>
        </is>
      </c>
      <c r="B4" s="5" t="n">
        <v>19</v>
      </c>
      <c r="C4" s="16" t="n">
        <v>2.09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17</v>
      </c>
      <c r="C5" s="16" t="n">
        <v>1.7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14</v>
      </c>
      <c r="C6" s="16" t="n">
        <v>1.96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13</v>
      </c>
      <c r="C7" s="16" t="n">
        <v>1.69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20</v>
      </c>
      <c r="C8" s="16" t="n">
        <v>2.6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19</v>
      </c>
      <c r="C9" s="16" t="n">
        <v>2.28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14</v>
      </c>
      <c r="C10" s="16" t="n">
        <v>1.54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15</v>
      </c>
      <c r="C11" s="16" t="n">
        <v>3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12</v>
      </c>
      <c r="C12" s="16" t="n">
        <v>2.16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16</v>
      </c>
      <c r="C13" s="16" t="n">
        <v>1.76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18</v>
      </c>
      <c r="F14" s="18" t="n">
        <v>775.6</v>
      </c>
      <c r="G14" s="19" t="n">
        <v>206.5166</v>
      </c>
      <c r="H14" s="19" t="n">
        <v>35.1491</v>
      </c>
      <c r="I14" s="19" t="n">
        <v>34.9184</v>
      </c>
      <c r="J14" s="20" t="n">
        <v>1.0086</v>
      </c>
      <c r="K14" s="19" t="n">
        <v>97.1926</v>
      </c>
      <c r="L14" s="19" t="n">
        <v>187.7004</v>
      </c>
      <c r="M14" s="17" t="n">
        <v>76252</v>
      </c>
      <c r="N14" s="20" t="n">
        <v>0.236278</v>
      </c>
      <c r="O14" s="18" t="n">
        <v>762.525484</v>
      </c>
      <c r="P14" s="17" t="n">
        <v>76253</v>
      </c>
      <c r="Q14" s="17" t="inlineStr">
        <is>
          <t>within-tol</t>
        </is>
      </c>
      <c r="R14" s="17" t="inlineStr"/>
    </row>
    <row r="16">
      <c r="A16" s="15" t="inlineStr">
        <is>
          <t>ClusterMinerB   —   Score ESG 19   —   ISO 14001 + ISO 50001   —   blocchi proposti 1</t>
        </is>
      </c>
    </row>
    <row r="17">
      <c r="A17" s="6" t="inlineStr">
        <is>
          <t xml:space="preserve">    Azienda 1</t>
        </is>
      </c>
      <c r="B17" s="5" t="n">
        <v>18</v>
      </c>
      <c r="C17" s="16" t="n">
        <v>2.88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19</v>
      </c>
      <c r="C18" s="16" t="n">
        <v>1.9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16</v>
      </c>
      <c r="C19" s="16" t="n">
        <v>1.6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19</v>
      </c>
      <c r="C20" s="16" t="n">
        <v>2.09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14</v>
      </c>
      <c r="C21" s="16" t="n">
        <v>1.82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16</v>
      </c>
      <c r="C22" s="16" t="n">
        <v>2.08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21</v>
      </c>
      <c r="C23" s="16" t="n">
        <v>3.78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15</v>
      </c>
      <c r="C24" s="16" t="n">
        <v>2.85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17</v>
      </c>
      <c r="C25" s="16" t="n">
        <v>1.7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22</v>
      </c>
      <c r="C26" s="16" t="n">
        <v>3.96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17</v>
      </c>
      <c r="F27" s="18" t="n">
        <v>791.54</v>
      </c>
      <c r="G27" s="19" t="n">
        <v>210.7609</v>
      </c>
      <c r="H27" s="19" t="n">
        <v>35.8715</v>
      </c>
      <c r="I27" s="19" t="n">
        <v>33.5338</v>
      </c>
      <c r="J27" s="20" t="n">
        <v>5.4391</v>
      </c>
      <c r="K27" s="19" t="n">
        <v>86.04389999999999</v>
      </c>
      <c r="L27" s="19" t="n">
        <v>192.7932</v>
      </c>
      <c r="M27" s="17" t="n">
        <v>74106</v>
      </c>
      <c r="N27" s="20" t="n">
        <v>0.229629</v>
      </c>
      <c r="O27" s="18" t="n">
        <v>741.056276</v>
      </c>
      <c r="P27" s="17" t="n">
        <v>74106</v>
      </c>
      <c r="Q27" s="17" t="inlineStr">
        <is>
          <t>exact</t>
        </is>
      </c>
      <c r="R27" s="17" t="inlineStr"/>
    </row>
    <row r="29">
      <c r="A29" s="21" t="inlineStr">
        <is>
          <t>ClusterMinerC   —   Score ESG 13   —   ISO 9001   —   blocchi proposti 2</t>
        </is>
      </c>
    </row>
    <row r="30">
      <c r="A30" s="6" t="inlineStr">
        <is>
          <t xml:space="preserve">    Azienda 1</t>
        </is>
      </c>
      <c r="B30" s="5" t="n">
        <v>15</v>
      </c>
      <c r="C30" s="16" t="n">
        <v>3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21</v>
      </c>
      <c r="C31" s="16" t="n">
        <v>3.78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19</v>
      </c>
      <c r="C32" s="16" t="n">
        <v>3.04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11</v>
      </c>
      <c r="C33" s="16" t="n">
        <v>1.43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17</v>
      </c>
      <c r="C34" s="16" t="n">
        <v>2.89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22</v>
      </c>
      <c r="C35" s="16" t="n">
        <v>4.18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18</v>
      </c>
      <c r="C36" s="16" t="n">
        <v>2.52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22</v>
      </c>
      <c r="C37" s="16" t="n">
        <v>2.2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18</v>
      </c>
      <c r="C38" s="16" t="n">
        <v>2.16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21</v>
      </c>
      <c r="C39" s="16" t="n">
        <v>3.36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22" t="inlineStr">
        <is>
          <t>TOTALE ClusterMinerC</t>
        </is>
      </c>
      <c r="B40" s="23">
        <f>SUM(B30:B39)</f>
        <v/>
      </c>
      <c r="C40" s="24">
        <f>SUM(C30:C39)</f>
        <v/>
      </c>
      <c r="D40" s="23" t="n">
        <v>13</v>
      </c>
      <c r="E40" s="23" t="n">
        <v>19</v>
      </c>
      <c r="F40" s="24" t="n">
        <v>618.28</v>
      </c>
      <c r="G40" s="25" t="n">
        <v>164.6275</v>
      </c>
      <c r="H40" s="25" t="n">
        <v>28.0196</v>
      </c>
      <c r="I40" s="25" t="n">
        <v>25.4312</v>
      </c>
      <c r="J40" s="26" t="n">
        <v>7.7353</v>
      </c>
      <c r="K40" s="25" t="n">
        <v>76.67740000000001</v>
      </c>
      <c r="L40" s="25" t="n">
        <v>148.0511</v>
      </c>
      <c r="M40" s="23" t="n">
        <v>54913</v>
      </c>
      <c r="N40" s="26" t="n">
        <v>0.170156</v>
      </c>
      <c r="O40" s="24" t="n">
        <v>549.127046</v>
      </c>
      <c r="P40" s="23" t="n">
        <v>54913</v>
      </c>
      <c r="Q40" s="23" t="inlineStr">
        <is>
          <t>exact</t>
        </is>
      </c>
      <c r="R40" s="23" t="inlineStr">
        <is>
          <t>SELECTED</t>
        </is>
      </c>
    </row>
    <row r="42">
      <c r="A42" s="15" t="inlineStr">
        <is>
          <t>ClusterMinerD   —   Score ESG 15   —   ISO 14001   —   blocchi proposti 0</t>
        </is>
      </c>
    </row>
    <row r="43">
      <c r="A43" s="6" t="inlineStr">
        <is>
          <t xml:space="preserve">    Azienda 1</t>
        </is>
      </c>
      <c r="B43" s="5" t="n">
        <v>14</v>
      </c>
      <c r="C43" s="16" t="n">
        <v>1.96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21</v>
      </c>
      <c r="C44" s="16" t="n">
        <v>2.52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11</v>
      </c>
      <c r="C45" s="16" t="n">
        <v>1.43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19</v>
      </c>
      <c r="C46" s="16" t="n">
        <v>2.85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20</v>
      </c>
      <c r="C47" s="16" t="n">
        <v>2.2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13</v>
      </c>
      <c r="C48" s="16" t="n">
        <v>1.43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21</v>
      </c>
      <c r="C49" s="16" t="n">
        <v>3.36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16</v>
      </c>
      <c r="C50" s="16" t="n">
        <v>1.76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20</v>
      </c>
      <c r="C51" s="16" t="n">
        <v>3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18</v>
      </c>
      <c r="C52" s="16" t="n">
        <v>2.7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21</v>
      </c>
      <c r="F53" s="18" t="n">
        <v>663.15</v>
      </c>
      <c r="G53" s="19" t="n">
        <v>176.5749</v>
      </c>
      <c r="H53" s="19" t="n">
        <v>30.053</v>
      </c>
      <c r="I53" s="19" t="n">
        <v>25.3774</v>
      </c>
      <c r="J53" s="20" t="n">
        <v>17.0032</v>
      </c>
      <c r="K53" s="19" t="n">
        <v>59.8798</v>
      </c>
      <c r="L53" s="19" t="n">
        <v>142.8163</v>
      </c>
      <c r="M53" s="17" t="n">
        <v>53650</v>
      </c>
      <c r="N53" s="20" t="n">
        <v>0.166243</v>
      </c>
      <c r="O53" s="18" t="n">
        <v>536.499322</v>
      </c>
      <c r="P53" s="17" t="n">
        <v>53650</v>
      </c>
      <c r="Q53" s="17" t="inlineStr">
        <is>
          <t>exact</t>
        </is>
      </c>
      <c r="R53" s="17" t="inlineStr"/>
    </row>
    <row r="55">
      <c r="A55" s="15" t="inlineStr">
        <is>
          <t>ClusterMinerE   —   Score ESG 19   —   non certificato   —   blocchi proposti 1</t>
        </is>
      </c>
    </row>
    <row r="56">
      <c r="A56" s="6" t="inlineStr">
        <is>
          <t xml:space="preserve">    Azienda 1</t>
        </is>
      </c>
      <c r="B56" s="5" t="n">
        <v>18</v>
      </c>
      <c r="C56" s="16" t="n">
        <v>2.52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18</v>
      </c>
      <c r="C57" s="16" t="n">
        <v>1.8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13</v>
      </c>
      <c r="C58" s="16" t="n">
        <v>2.21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18</v>
      </c>
      <c r="C59" s="16" t="n">
        <v>3.24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13</v>
      </c>
      <c r="C60" s="16" t="n">
        <v>1.43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15</v>
      </c>
      <c r="C61" s="16" t="n">
        <v>2.4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14</v>
      </c>
      <c r="C62" s="16" t="n">
        <v>1.54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15</v>
      </c>
      <c r="C63" s="16" t="n">
        <v>2.7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15</v>
      </c>
      <c r="C64" s="16" t="n">
        <v>2.1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19</v>
      </c>
      <c r="C65" s="16" t="n">
        <v>3.8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24</v>
      </c>
      <c r="F66" s="18" t="n">
        <v>907.0599999999999</v>
      </c>
      <c r="G66" s="19" t="n">
        <v>241.5201</v>
      </c>
      <c r="H66" s="19" t="n">
        <v>41.1067</v>
      </c>
      <c r="I66" s="19" t="n">
        <v>33.1907</v>
      </c>
      <c r="J66" s="20" t="n">
        <v>45.8573</v>
      </c>
      <c r="K66" s="19" t="n">
        <v>41.988</v>
      </c>
      <c r="L66" s="19" t="n">
        <v>210.4387</v>
      </c>
      <c r="M66" s="17" t="n">
        <v>63800</v>
      </c>
      <c r="N66" s="20" t="n">
        <v>0.197694</v>
      </c>
      <c r="O66" s="18" t="n">
        <v>637.997464</v>
      </c>
      <c r="P66" s="17" t="n">
        <v>63800</v>
      </c>
      <c r="Q66" s="17" t="inlineStr">
        <is>
          <t>exact</t>
        </is>
      </c>
      <c r="R66" s="17" t="inlineStr"/>
    </row>
    <row r="68">
      <c r="A68" s="1" t="inlineStr">
        <is>
          <t>TOTALI EPOCH 15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170.2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18</v>
      </c>
      <c r="E74" s="12" t="n">
        <v>35.1491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17</v>
      </c>
      <c r="E75" s="12" t="n">
        <v>35.8715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19</v>
      </c>
      <c r="E76" s="12" t="n">
        <v>28.0196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21</v>
      </c>
      <c r="E77" s="12" t="n">
        <v>30.053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24</v>
      </c>
      <c r="E78" s="12" t="n">
        <v>41.1067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16  —  modalita wpoa  —  proposer ClusterMinerC (wpoa-weighted)  —  Theta (Tot Tx azienda) 640  —  monte premi alpha×Theta = 128.00 €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2</t>
        </is>
      </c>
    </row>
    <row r="4">
      <c r="A4" s="6" t="inlineStr">
        <is>
          <t xml:space="preserve">    Azienda 1</t>
        </is>
      </c>
      <c r="B4" s="5" t="n">
        <v>11</v>
      </c>
      <c r="C4" s="16" t="n">
        <v>1.21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10</v>
      </c>
      <c r="C5" s="16" t="n">
        <v>1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16</v>
      </c>
      <c r="C6" s="16" t="n">
        <v>2.24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14</v>
      </c>
      <c r="C7" s="16" t="n">
        <v>1.82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15</v>
      </c>
      <c r="C8" s="16" t="n">
        <v>1.95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14</v>
      </c>
      <c r="C9" s="16" t="n">
        <v>1.68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12</v>
      </c>
      <c r="C10" s="16" t="n">
        <v>1.32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12</v>
      </c>
      <c r="C11" s="16" t="n">
        <v>2.4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10</v>
      </c>
      <c r="C12" s="16" t="n">
        <v>1.8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9</v>
      </c>
      <c r="C13" s="16" t="n">
        <v>0.99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12</v>
      </c>
      <c r="F14" s="18" t="n">
        <v>568.2</v>
      </c>
      <c r="G14" s="19" t="n">
        <v>200.3349</v>
      </c>
      <c r="H14" s="19" t="n">
        <v>25.6429</v>
      </c>
      <c r="I14" s="19" t="n">
        <v>26.6515</v>
      </c>
      <c r="J14" s="20" t="n">
        <v>0</v>
      </c>
      <c r="K14" s="19" t="n">
        <v>100</v>
      </c>
      <c r="L14" s="19" t="n">
        <v>213.3433</v>
      </c>
      <c r="M14" s="17" t="n">
        <v>56022</v>
      </c>
      <c r="N14" s="20" t="n">
        <v>0.229755</v>
      </c>
      <c r="O14" s="18" t="n">
        <v>560.224292</v>
      </c>
      <c r="P14" s="17" t="n">
        <v>56022</v>
      </c>
      <c r="Q14" s="17" t="inlineStr">
        <is>
          <t>exact</t>
        </is>
      </c>
      <c r="R14" s="17" t="inlineStr"/>
    </row>
    <row r="16">
      <c r="A16" s="15" t="inlineStr">
        <is>
          <t>ClusterMinerB   —   Score ESG 19   —   ISO 14001 + ISO 50001   —   blocchi proposti 1</t>
        </is>
      </c>
    </row>
    <row r="17">
      <c r="A17" s="6" t="inlineStr">
        <is>
          <t xml:space="preserve">    Azienda 1</t>
        </is>
      </c>
      <c r="B17" s="5" t="n">
        <v>17</v>
      </c>
      <c r="C17" s="16" t="n">
        <v>2.72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14</v>
      </c>
      <c r="C18" s="16" t="n">
        <v>1.4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11</v>
      </c>
      <c r="C19" s="16" t="n">
        <v>1.1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11</v>
      </c>
      <c r="C20" s="16" t="n">
        <v>1.21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10</v>
      </c>
      <c r="C21" s="16" t="n">
        <v>1.3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11</v>
      </c>
      <c r="C22" s="16" t="n">
        <v>1.43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14</v>
      </c>
      <c r="C23" s="16" t="n">
        <v>2.52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12</v>
      </c>
      <c r="C24" s="16" t="n">
        <v>2.28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14</v>
      </c>
      <c r="C25" s="16" t="n">
        <v>1.4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16</v>
      </c>
      <c r="C26" s="16" t="n">
        <v>2.88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17</v>
      </c>
      <c r="F27" s="18" t="n">
        <v>669.5599999999999</v>
      </c>
      <c r="G27" s="19" t="n">
        <v>236.0723</v>
      </c>
      <c r="H27" s="19" t="n">
        <v>30.2173</v>
      </c>
      <c r="I27" s="19" t="n">
        <v>31.1655</v>
      </c>
      <c r="J27" s="20" t="n">
        <v>4.4909</v>
      </c>
      <c r="K27" s="19" t="n">
        <v>87.4051</v>
      </c>
      <c r="L27" s="19" t="n">
        <v>223.0105</v>
      </c>
      <c r="M27" s="17" t="n">
        <v>62284</v>
      </c>
      <c r="N27" s="20" t="n">
        <v>0.255436</v>
      </c>
      <c r="O27" s="18" t="n">
        <v>622.837742</v>
      </c>
      <c r="P27" s="17" t="n">
        <v>62284</v>
      </c>
      <c r="Q27" s="17" t="inlineStr">
        <is>
          <t>exact</t>
        </is>
      </c>
      <c r="R27" s="17" t="inlineStr"/>
    </row>
    <row r="29">
      <c r="A29" s="21" t="inlineStr">
        <is>
          <t>ClusterMinerC   —   Score ESG 13   —   ISO 9001   —   blocchi proposti 2</t>
        </is>
      </c>
    </row>
    <row r="30">
      <c r="A30" s="6" t="inlineStr">
        <is>
          <t xml:space="preserve">    Azienda 1</t>
        </is>
      </c>
      <c r="B30" s="5" t="n">
        <v>12</v>
      </c>
      <c r="C30" s="16" t="n">
        <v>2.4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10</v>
      </c>
      <c r="C31" s="16" t="n">
        <v>1.8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10</v>
      </c>
      <c r="C32" s="16" t="n">
        <v>1.6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13</v>
      </c>
      <c r="C33" s="16" t="n">
        <v>1.69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11</v>
      </c>
      <c r="C34" s="16" t="n">
        <v>1.87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17</v>
      </c>
      <c r="C35" s="16" t="n">
        <v>3.23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16</v>
      </c>
      <c r="C36" s="16" t="n">
        <v>2.24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16</v>
      </c>
      <c r="C37" s="16" t="n">
        <v>1.6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14</v>
      </c>
      <c r="C38" s="16" t="n">
        <v>1.68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13</v>
      </c>
      <c r="C39" s="16" t="n">
        <v>2.08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22" t="inlineStr">
        <is>
          <t>TOTALE ClusterMinerC</t>
        </is>
      </c>
      <c r="B40" s="23">
        <f>SUM(B30:B39)</f>
        <v/>
      </c>
      <c r="C40" s="24">
        <f>SUM(C30:C39)</f>
        <v/>
      </c>
      <c r="D40" s="23" t="n">
        <v>13</v>
      </c>
      <c r="E40" s="23" t="n">
        <v>14</v>
      </c>
      <c r="F40" s="24" t="n">
        <v>444.47</v>
      </c>
      <c r="G40" s="25" t="n">
        <v>156.7104</v>
      </c>
      <c r="H40" s="25" t="n">
        <v>20.0589</v>
      </c>
      <c r="I40" s="25" t="n">
        <v>19.9471</v>
      </c>
      <c r="J40" s="26" t="n">
        <v>7.8471</v>
      </c>
      <c r="K40" s="25" t="n">
        <v>71.7671</v>
      </c>
      <c r="L40" s="25" t="n">
        <v>168.11</v>
      </c>
      <c r="M40" s="23" t="n">
        <v>39264</v>
      </c>
      <c r="N40" s="26" t="n">
        <v>0.161028</v>
      </c>
      <c r="O40" s="24" t="n">
        <v>392.638954</v>
      </c>
      <c r="P40" s="23" t="n">
        <v>39264</v>
      </c>
      <c r="Q40" s="23" t="inlineStr">
        <is>
          <t>exact</t>
        </is>
      </c>
      <c r="R40" s="23" t="inlineStr">
        <is>
          <t>SELECTED</t>
        </is>
      </c>
    </row>
    <row r="42">
      <c r="A42" s="15" t="inlineStr">
        <is>
          <t>ClusterMinerD   —   Score ESG 15   —   ISO 14001   —   blocchi proposti 0</t>
        </is>
      </c>
    </row>
    <row r="43">
      <c r="A43" s="6" t="inlineStr">
        <is>
          <t xml:space="preserve">    Azienda 1</t>
        </is>
      </c>
      <c r="B43" s="5" t="n">
        <v>10</v>
      </c>
      <c r="C43" s="16" t="n">
        <v>1.4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13</v>
      </c>
      <c r="C44" s="16" t="n">
        <v>1.56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9</v>
      </c>
      <c r="C45" s="16" t="n">
        <v>1.17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14</v>
      </c>
      <c r="C46" s="16" t="n">
        <v>2.1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13</v>
      </c>
      <c r="C47" s="16" t="n">
        <v>1.43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12</v>
      </c>
      <c r="C48" s="16" t="n">
        <v>1.32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12</v>
      </c>
      <c r="C49" s="16" t="n">
        <v>1.92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11</v>
      </c>
      <c r="C50" s="16" t="n">
        <v>1.21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13</v>
      </c>
      <c r="C51" s="16" t="n">
        <v>1.95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15</v>
      </c>
      <c r="C52" s="16" t="n">
        <v>2.25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16</v>
      </c>
      <c r="F53" s="18" t="n">
        <v>484.65</v>
      </c>
      <c r="G53" s="19" t="n">
        <v>170.877</v>
      </c>
      <c r="H53" s="19" t="n">
        <v>21.8723</v>
      </c>
      <c r="I53" s="19" t="n">
        <v>24.4417</v>
      </c>
      <c r="J53" s="20" t="n">
        <v>14.4338</v>
      </c>
      <c r="K53" s="19" t="n">
        <v>62.8717</v>
      </c>
      <c r="L53" s="19" t="n">
        <v>164.6886</v>
      </c>
      <c r="M53" s="17" t="n">
        <v>38743</v>
      </c>
      <c r="N53" s="20" t="n">
        <v>0.158891</v>
      </c>
      <c r="O53" s="18" t="n">
        <v>387.428619</v>
      </c>
      <c r="P53" s="17" t="n">
        <v>38743</v>
      </c>
      <c r="Q53" s="17" t="inlineStr">
        <is>
          <t>exact</t>
        </is>
      </c>
      <c r="R53" s="17" t="inlineStr"/>
    </row>
    <row r="55">
      <c r="A55" s="15" t="inlineStr">
        <is>
          <t>ClusterMinerE   —   Score ESG 19   —   non certificato   —   blocchi proposti 1</t>
        </is>
      </c>
    </row>
    <row r="56">
      <c r="A56" s="6" t="inlineStr">
        <is>
          <t xml:space="preserve">    Azienda 1</t>
        </is>
      </c>
      <c r="B56" s="5" t="n">
        <v>12</v>
      </c>
      <c r="C56" s="16" t="n">
        <v>1.68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12</v>
      </c>
      <c r="C57" s="16" t="n">
        <v>1.2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11</v>
      </c>
      <c r="C58" s="16" t="n">
        <v>1.87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16</v>
      </c>
      <c r="C59" s="16" t="n">
        <v>2.88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10</v>
      </c>
      <c r="C60" s="16" t="n">
        <v>1.1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16</v>
      </c>
      <c r="C61" s="16" t="n">
        <v>2.56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14</v>
      </c>
      <c r="C62" s="16" t="n">
        <v>1.54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14</v>
      </c>
      <c r="C63" s="16" t="n">
        <v>2.52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12</v>
      </c>
      <c r="C64" s="16" t="n">
        <v>1.68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16</v>
      </c>
      <c r="C65" s="16" t="n">
        <v>3.2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15</v>
      </c>
      <c r="F66" s="18" t="n">
        <v>669.37</v>
      </c>
      <c r="G66" s="19" t="n">
        <v>236.0053</v>
      </c>
      <c r="H66" s="19" t="n">
        <v>30.2087</v>
      </c>
      <c r="I66" s="19" t="n">
        <v>31.6424</v>
      </c>
      <c r="J66" s="20" t="n">
        <v>44.4236</v>
      </c>
      <c r="K66" s="19" t="n">
        <v>41.5986</v>
      </c>
      <c r="L66" s="19" t="n">
        <v>240.6474</v>
      </c>
      <c r="M66" s="17" t="n">
        <v>47521</v>
      </c>
      <c r="N66" s="20" t="n">
        <v>0.194891</v>
      </c>
      <c r="O66" s="18" t="n">
        <v>475.212647</v>
      </c>
      <c r="P66" s="17" t="n">
        <v>47521</v>
      </c>
      <c r="Q66" s="17" t="inlineStr">
        <is>
          <t>exact</t>
        </is>
      </c>
      <c r="R66" s="17" t="inlineStr"/>
    </row>
    <row r="68">
      <c r="A68" s="1" t="inlineStr">
        <is>
          <t>TOTALI EPOCH 16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128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12</v>
      </c>
      <c r="E74" s="12" t="n">
        <v>25.6429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17</v>
      </c>
      <c r="E75" s="12" t="n">
        <v>30.2173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14</v>
      </c>
      <c r="E76" s="12" t="n">
        <v>20.0589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16</v>
      </c>
      <c r="E77" s="12" t="n">
        <v>21.8723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15</v>
      </c>
      <c r="E78" s="12" t="n">
        <v>30.2087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17  —  modalita wpoa  —  proposer ClusterMinerE (wpoa-weighted)  —  Theta (Tot Tx azienda) 635  —  monte premi alpha×Theta = 127.00 €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2</t>
        </is>
      </c>
    </row>
    <row r="4">
      <c r="A4" s="6" t="inlineStr">
        <is>
          <t xml:space="preserve">    Azienda 1</t>
        </is>
      </c>
      <c r="B4" s="5" t="n">
        <v>12</v>
      </c>
      <c r="C4" s="16" t="n">
        <v>1.32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12</v>
      </c>
      <c r="C5" s="16" t="n">
        <v>1.2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17</v>
      </c>
      <c r="C6" s="16" t="n">
        <v>2.38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10</v>
      </c>
      <c r="C7" s="16" t="n">
        <v>1.3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11</v>
      </c>
      <c r="C8" s="16" t="n">
        <v>1.43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16</v>
      </c>
      <c r="C9" s="16" t="n">
        <v>1.92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10</v>
      </c>
      <c r="C10" s="16" t="n">
        <v>1.1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12</v>
      </c>
      <c r="C11" s="16" t="n">
        <v>2.4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12</v>
      </c>
      <c r="C12" s="16" t="n">
        <v>2.16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15</v>
      </c>
      <c r="C13" s="16" t="n">
        <v>1.65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17</v>
      </c>
      <c r="F14" s="18" t="n">
        <v>677.2</v>
      </c>
      <c r="G14" s="19" t="n">
        <v>232.9445</v>
      </c>
      <c r="H14" s="19" t="n">
        <v>29.584</v>
      </c>
      <c r="I14" s="19" t="n">
        <v>29.584</v>
      </c>
      <c r="J14" s="20" t="n">
        <v>0</v>
      </c>
      <c r="K14" s="19" t="n">
        <v>100</v>
      </c>
      <c r="L14" s="19" t="n">
        <v>242.9273</v>
      </c>
      <c r="M14" s="17" t="n">
        <v>67720</v>
      </c>
      <c r="N14" s="20" t="n">
        <v>0.266166</v>
      </c>
      <c r="O14" s="18" t="n">
        <v>677.2</v>
      </c>
      <c r="P14" s="17" t="n">
        <v>67720</v>
      </c>
      <c r="Q14" s="17" t="inlineStr">
        <is>
          <t>exact</t>
        </is>
      </c>
      <c r="R14" s="17" t="inlineStr"/>
    </row>
    <row r="16">
      <c r="A16" s="15" t="inlineStr">
        <is>
          <t>ClusterMinerB   —   Score ESG 19   —   ISO 14001 + ISO 50001   —   blocchi proposti 0</t>
        </is>
      </c>
    </row>
    <row r="17">
      <c r="A17" s="6" t="inlineStr">
        <is>
          <t xml:space="preserve">    Azienda 1</t>
        </is>
      </c>
      <c r="B17" s="5" t="n">
        <v>12</v>
      </c>
      <c r="C17" s="16" t="n">
        <v>1.92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16</v>
      </c>
      <c r="C18" s="16" t="n">
        <v>1.6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9</v>
      </c>
      <c r="C19" s="16" t="n">
        <v>0.9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15</v>
      </c>
      <c r="C20" s="16" t="n">
        <v>1.65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8</v>
      </c>
      <c r="C21" s="16" t="n">
        <v>1.04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12</v>
      </c>
      <c r="C22" s="16" t="n">
        <v>1.56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17</v>
      </c>
      <c r="C23" s="16" t="n">
        <v>3.06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15</v>
      </c>
      <c r="C24" s="16" t="n">
        <v>2.85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11</v>
      </c>
      <c r="C25" s="16" t="n">
        <v>1.1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14</v>
      </c>
      <c r="C26" s="16" t="n">
        <v>2.52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18</v>
      </c>
      <c r="F27" s="18" t="n">
        <v>687.8</v>
      </c>
      <c r="G27" s="19" t="n">
        <v>236.5907</v>
      </c>
      <c r="H27" s="19" t="n">
        <v>30.047</v>
      </c>
      <c r="I27" s="19" t="n">
        <v>29.9099</v>
      </c>
      <c r="J27" s="20" t="n">
        <v>4.628</v>
      </c>
      <c r="K27" s="19" t="n">
        <v>86.6002</v>
      </c>
      <c r="L27" s="19" t="n">
        <v>253.0575</v>
      </c>
      <c r="M27" s="17" t="n">
        <v>64449</v>
      </c>
      <c r="N27" s="20" t="n">
        <v>0.253309</v>
      </c>
      <c r="O27" s="18" t="n">
        <v>644.486022</v>
      </c>
      <c r="P27" s="17" t="n">
        <v>64449</v>
      </c>
      <c r="Q27" s="17" t="inlineStr">
        <is>
          <t>exact</t>
        </is>
      </c>
      <c r="R27" s="17" t="inlineStr"/>
    </row>
    <row r="29">
      <c r="A29" s="15" t="inlineStr">
        <is>
          <t>ClusterMinerC   —   Score ESG 13   —   ISO 9001   —   blocchi proposti 1</t>
        </is>
      </c>
    </row>
    <row r="30">
      <c r="A30" s="6" t="inlineStr">
        <is>
          <t xml:space="preserve">    Azienda 1</t>
        </is>
      </c>
      <c r="B30" s="5" t="n">
        <v>17</v>
      </c>
      <c r="C30" s="16" t="n">
        <v>3.4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11</v>
      </c>
      <c r="C31" s="16" t="n">
        <v>1.98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10</v>
      </c>
      <c r="C32" s="16" t="n">
        <v>1.6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16</v>
      </c>
      <c r="C33" s="16" t="n">
        <v>2.08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15</v>
      </c>
      <c r="C34" s="16" t="n">
        <v>2.55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9</v>
      </c>
      <c r="C35" s="16" t="n">
        <v>1.71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11</v>
      </c>
      <c r="C36" s="16" t="n">
        <v>1.54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10</v>
      </c>
      <c r="C37" s="16" t="n">
        <v>1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16</v>
      </c>
      <c r="C38" s="16" t="n">
        <v>1.92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11</v>
      </c>
      <c r="C39" s="16" t="n">
        <v>1.76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12</v>
      </c>
      <c r="F40" s="18" t="n">
        <v>410.02</v>
      </c>
      <c r="G40" s="19" t="n">
        <v>141.0394</v>
      </c>
      <c r="H40" s="19" t="n">
        <v>17.912</v>
      </c>
      <c r="I40" s="19" t="n">
        <v>19.3028</v>
      </c>
      <c r="J40" s="20" t="n">
        <v>6.4563</v>
      </c>
      <c r="K40" s="19" t="n">
        <v>74.9358</v>
      </c>
      <c r="L40" s="19" t="n">
        <v>186.022</v>
      </c>
      <c r="M40" s="17" t="n">
        <v>36509</v>
      </c>
      <c r="N40" s="20" t="n">
        <v>0.143494</v>
      </c>
      <c r="O40" s="18" t="n">
        <v>352.139796</v>
      </c>
      <c r="P40" s="17" t="n">
        <v>35214</v>
      </c>
      <c r="Q40" s="17" t="inlineStr">
        <is>
          <t>off</t>
        </is>
      </c>
      <c r="R40" s="17" t="inlineStr"/>
    </row>
    <row r="42">
      <c r="A42" s="15" t="inlineStr">
        <is>
          <t>ClusterMinerD   —   Score ESG 15   —   ISO 14001   —   blocchi proposti 1</t>
        </is>
      </c>
    </row>
    <row r="43">
      <c r="A43" s="6" t="inlineStr">
        <is>
          <t xml:space="preserve">    Azienda 1</t>
        </is>
      </c>
      <c r="B43" s="5" t="n">
        <v>13</v>
      </c>
      <c r="C43" s="16" t="n">
        <v>1.82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9</v>
      </c>
      <c r="C44" s="16" t="n">
        <v>1.08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12</v>
      </c>
      <c r="C45" s="16" t="n">
        <v>1.56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12</v>
      </c>
      <c r="C46" s="16" t="n">
        <v>1.8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17</v>
      </c>
      <c r="C47" s="16" t="n">
        <v>1.87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10</v>
      </c>
      <c r="C48" s="16" t="n">
        <v>1.1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9</v>
      </c>
      <c r="C49" s="16" t="n">
        <v>1.44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11</v>
      </c>
      <c r="C50" s="16" t="n">
        <v>1.21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15</v>
      </c>
      <c r="C51" s="16" t="n">
        <v>2.25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13</v>
      </c>
      <c r="C52" s="16" t="n">
        <v>1.95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19</v>
      </c>
      <c r="F53" s="18" t="n">
        <v>526.2</v>
      </c>
      <c r="G53" s="19" t="n">
        <v>181.0033</v>
      </c>
      <c r="H53" s="19" t="n">
        <v>22.9874</v>
      </c>
      <c r="I53" s="19" t="n">
        <v>23.1077</v>
      </c>
      <c r="J53" s="20" t="n">
        <v>14.3135</v>
      </c>
      <c r="K53" s="19" t="n">
        <v>61.7503</v>
      </c>
      <c r="L53" s="19" t="n">
        <v>187.676</v>
      </c>
      <c r="M53" s="17" t="n">
        <v>42852</v>
      </c>
      <c r="N53" s="20" t="n">
        <v>0.168425</v>
      </c>
      <c r="O53" s="18" t="n">
        <v>428.515526</v>
      </c>
      <c r="P53" s="17" t="n">
        <v>42852</v>
      </c>
      <c r="Q53" s="17" t="inlineStr">
        <is>
          <t>exact</t>
        </is>
      </c>
      <c r="R53" s="17" t="inlineStr"/>
    </row>
    <row r="55">
      <c r="A55" s="21" t="inlineStr">
        <is>
          <t>ClusterMinerE   —   Score ESG 19   —   non certificato   —   blocchi proposti 2</t>
        </is>
      </c>
    </row>
    <row r="56">
      <c r="A56" s="6" t="inlineStr">
        <is>
          <t xml:space="preserve">    Azienda 1</t>
        </is>
      </c>
      <c r="B56" s="5" t="n">
        <v>9</v>
      </c>
      <c r="C56" s="16" t="n">
        <v>1.26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15</v>
      </c>
      <c r="C57" s="16" t="n">
        <v>1.5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11</v>
      </c>
      <c r="C58" s="16" t="n">
        <v>1.87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14</v>
      </c>
      <c r="C59" s="16" t="n">
        <v>2.52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13</v>
      </c>
      <c r="C60" s="16" t="n">
        <v>1.43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17</v>
      </c>
      <c r="C61" s="16" t="n">
        <v>2.72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11</v>
      </c>
      <c r="C62" s="16" t="n">
        <v>1.21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15</v>
      </c>
      <c r="C63" s="16" t="n">
        <v>2.7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12</v>
      </c>
      <c r="C64" s="16" t="n">
        <v>1.68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15</v>
      </c>
      <c r="C65" s="16" t="n">
        <v>3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22" t="inlineStr">
        <is>
          <t>TOTALE ClusterMinerE</t>
        </is>
      </c>
      <c r="B66" s="23">
        <f>SUM(B56:B65)</f>
        <v/>
      </c>
      <c r="C66" s="24">
        <f>SUM(C56:C65)</f>
        <v/>
      </c>
      <c r="D66" s="23" t="n">
        <v>19</v>
      </c>
      <c r="E66" s="23" t="n">
        <v>12</v>
      </c>
      <c r="F66" s="24" t="n">
        <v>605.91</v>
      </c>
      <c r="G66" s="25" t="n">
        <v>208.4221</v>
      </c>
      <c r="H66" s="25" t="n">
        <v>26.4696</v>
      </c>
      <c r="I66" s="25" t="n">
        <v>28.5858</v>
      </c>
      <c r="J66" s="26" t="n">
        <v>42.3074</v>
      </c>
      <c r="K66" s="25" t="n">
        <v>40.3223</v>
      </c>
      <c r="L66" s="25" t="n">
        <v>267.117</v>
      </c>
      <c r="M66" s="23" t="n">
        <v>42898</v>
      </c>
      <c r="N66" s="26" t="n">
        <v>0.168606</v>
      </c>
      <c r="O66" s="24" t="n">
        <v>428.980074</v>
      </c>
      <c r="P66" s="23" t="n">
        <v>42898</v>
      </c>
      <c r="Q66" s="23" t="inlineStr">
        <is>
          <t>exact</t>
        </is>
      </c>
      <c r="R66" s="23" t="inlineStr">
        <is>
          <t>SELECTED</t>
        </is>
      </c>
    </row>
    <row r="68">
      <c r="A68" s="1" t="inlineStr">
        <is>
          <t>TOTALI EPOCH 17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127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17</v>
      </c>
      <c r="E74" s="12" t="n">
        <v>29.584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18</v>
      </c>
      <c r="E75" s="12" t="n">
        <v>30.047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12</v>
      </c>
      <c r="E76" s="12" t="n">
        <v>17.912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19</v>
      </c>
      <c r="E77" s="12" t="n">
        <v>22.9874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12</v>
      </c>
      <c r="E78" s="12" t="n">
        <v>26.4696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18  —  modalita wpoa  —  proposer ClusterMinerD (wpoa-weighted)  —  Theta (Tot Tx azienda) 663  —  monte premi alpha×Theta = 132.60 €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0</t>
        </is>
      </c>
    </row>
    <row r="4">
      <c r="A4" s="6" t="inlineStr">
        <is>
          <t xml:space="preserve">    Azienda 1</t>
        </is>
      </c>
      <c r="B4" s="5" t="n">
        <v>11</v>
      </c>
      <c r="C4" s="16" t="n">
        <v>1.21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10</v>
      </c>
      <c r="C5" s="16" t="n">
        <v>1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10</v>
      </c>
      <c r="C6" s="16" t="n">
        <v>1.4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15</v>
      </c>
      <c r="C7" s="16" t="n">
        <v>1.95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8</v>
      </c>
      <c r="C8" s="16" t="n">
        <v>1.04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12</v>
      </c>
      <c r="C9" s="16" t="n">
        <v>1.44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15</v>
      </c>
      <c r="C10" s="16" t="n">
        <v>1.65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17</v>
      </c>
      <c r="C11" s="16" t="n">
        <v>3.4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14</v>
      </c>
      <c r="C12" s="16" t="n">
        <v>2.52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17</v>
      </c>
      <c r="C13" s="16" t="n">
        <v>1.87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15</v>
      </c>
      <c r="F14" s="18" t="n">
        <v>649.6</v>
      </c>
      <c r="G14" s="19" t="n">
        <v>218.7213</v>
      </c>
      <c r="H14" s="19" t="n">
        <v>29.0024</v>
      </c>
      <c r="I14" s="19" t="n">
        <v>27.9613</v>
      </c>
      <c r="J14" s="20" t="n">
        <v>1.0411</v>
      </c>
      <c r="K14" s="19" t="n">
        <v>96.41030000000001</v>
      </c>
      <c r="L14" s="19" t="n">
        <v>271.9297</v>
      </c>
      <c r="M14" s="17" t="n">
        <v>64960</v>
      </c>
      <c r="N14" s="20" t="n">
        <v>0.25203</v>
      </c>
      <c r="O14" s="18" t="n">
        <v>649.6</v>
      </c>
      <c r="P14" s="17" t="n">
        <v>64960</v>
      </c>
      <c r="Q14" s="17" t="inlineStr">
        <is>
          <t>exact</t>
        </is>
      </c>
      <c r="R14" s="17" t="inlineStr"/>
    </row>
    <row r="16">
      <c r="A16" s="15" t="inlineStr">
        <is>
          <t>ClusterMinerB   —   Score ESG 19   —   ISO 14001 + ISO 50001   —   blocchi proposti 1</t>
        </is>
      </c>
    </row>
    <row r="17">
      <c r="A17" s="6" t="inlineStr">
        <is>
          <t xml:space="preserve">    Azienda 1</t>
        </is>
      </c>
      <c r="B17" s="5" t="n">
        <v>16</v>
      </c>
      <c r="C17" s="16" t="n">
        <v>2.56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12</v>
      </c>
      <c r="C18" s="16" t="n">
        <v>1.2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10</v>
      </c>
      <c r="C19" s="16" t="n">
        <v>1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15</v>
      </c>
      <c r="C20" s="16" t="n">
        <v>1.65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11</v>
      </c>
      <c r="C21" s="16" t="n">
        <v>1.43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16</v>
      </c>
      <c r="C22" s="16" t="n">
        <v>2.08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13</v>
      </c>
      <c r="C23" s="16" t="n">
        <v>2.34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18</v>
      </c>
      <c r="C24" s="16" t="n">
        <v>3.42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15</v>
      </c>
      <c r="C25" s="16" t="n">
        <v>1.5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10</v>
      </c>
      <c r="C26" s="16" t="n">
        <v>1.8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17</v>
      </c>
      <c r="F27" s="18" t="n">
        <v>683.62</v>
      </c>
      <c r="G27" s="19" t="n">
        <v>230.1759</v>
      </c>
      <c r="H27" s="19" t="n">
        <v>30.5213</v>
      </c>
      <c r="I27" s="19" t="n">
        <v>32.6235</v>
      </c>
      <c r="J27" s="20" t="n">
        <v>2.5258</v>
      </c>
      <c r="K27" s="19" t="n">
        <v>92.8141</v>
      </c>
      <c r="L27" s="19" t="n">
        <v>283.5788</v>
      </c>
      <c r="M27" s="17" t="n">
        <v>63875</v>
      </c>
      <c r="N27" s="20" t="n">
        <v>0.247821</v>
      </c>
      <c r="O27" s="18" t="n">
        <v>637.818238</v>
      </c>
      <c r="P27" s="17" t="n">
        <v>63782</v>
      </c>
      <c r="Q27" s="17" t="inlineStr">
        <is>
          <t>within-tol</t>
        </is>
      </c>
      <c r="R27" s="17" t="inlineStr"/>
    </row>
    <row r="29">
      <c r="A29" s="15" t="inlineStr">
        <is>
          <t>ClusterMinerC   —   Score ESG 13   —   ISO 9001   —   blocchi proposti 2</t>
        </is>
      </c>
    </row>
    <row r="30">
      <c r="A30" s="6" t="inlineStr">
        <is>
          <t xml:space="preserve">    Azienda 1</t>
        </is>
      </c>
      <c r="B30" s="5" t="n">
        <v>18</v>
      </c>
      <c r="C30" s="16" t="n">
        <v>3.6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12</v>
      </c>
      <c r="C31" s="16" t="n">
        <v>2.16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12</v>
      </c>
      <c r="C32" s="16" t="n">
        <v>1.92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17</v>
      </c>
      <c r="C33" s="16" t="n">
        <v>2.21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14</v>
      </c>
      <c r="C34" s="16" t="n">
        <v>2.38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10</v>
      </c>
      <c r="C35" s="16" t="n">
        <v>1.9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11</v>
      </c>
      <c r="C36" s="16" t="n">
        <v>1.54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11</v>
      </c>
      <c r="C37" s="16" t="n">
        <v>1.1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16</v>
      </c>
      <c r="C38" s="16" t="n">
        <v>1.92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9</v>
      </c>
      <c r="C39" s="16" t="n">
        <v>1.44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15</v>
      </c>
      <c r="F40" s="18" t="n">
        <v>457.21</v>
      </c>
      <c r="G40" s="19" t="n">
        <v>153.9433</v>
      </c>
      <c r="H40" s="19" t="n">
        <v>20.4129</v>
      </c>
      <c r="I40" s="19" t="n">
        <v>20.9199</v>
      </c>
      <c r="J40" s="20" t="n">
        <v>5.9493</v>
      </c>
      <c r="K40" s="19" t="n">
        <v>77.8583</v>
      </c>
      <c r="L40" s="19" t="n">
        <v>206.4349</v>
      </c>
      <c r="M40" s="17" t="n">
        <v>39606</v>
      </c>
      <c r="N40" s="20" t="n">
        <v>0.153662</v>
      </c>
      <c r="O40" s="18" t="n">
        <v>399.912095</v>
      </c>
      <c r="P40" s="17" t="n">
        <v>39991</v>
      </c>
      <c r="Q40" s="17" t="inlineStr">
        <is>
          <t>within-tol</t>
        </is>
      </c>
      <c r="R40" s="17" t="inlineStr"/>
    </row>
    <row r="42">
      <c r="A42" s="21" t="inlineStr">
        <is>
          <t>ClusterMinerD   —   Score ESG 15   —   ISO 14001   —   blocchi proposti 3</t>
        </is>
      </c>
    </row>
    <row r="43">
      <c r="A43" s="6" t="inlineStr">
        <is>
          <t xml:space="preserve">    Azienda 1</t>
        </is>
      </c>
      <c r="B43" s="5" t="n">
        <v>13</v>
      </c>
      <c r="C43" s="16" t="n">
        <v>1.82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14</v>
      </c>
      <c r="C44" s="16" t="n">
        <v>1.68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14</v>
      </c>
      <c r="C45" s="16" t="n">
        <v>1.82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12</v>
      </c>
      <c r="C46" s="16" t="n">
        <v>1.8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11</v>
      </c>
      <c r="C47" s="16" t="n">
        <v>1.21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16</v>
      </c>
      <c r="C48" s="16" t="n">
        <v>1.76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12</v>
      </c>
      <c r="C49" s="16" t="n">
        <v>1.92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10</v>
      </c>
      <c r="C50" s="16" t="n">
        <v>1.1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14</v>
      </c>
      <c r="C51" s="16" t="n">
        <v>2.1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11</v>
      </c>
      <c r="C52" s="16" t="n">
        <v>1.65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22" t="inlineStr">
        <is>
          <t>TOTALE ClusterMinerD</t>
        </is>
      </c>
      <c r="B53" s="23">
        <f>SUM(B43:B52)</f>
        <v/>
      </c>
      <c r="C53" s="24">
        <f>SUM(C43:C52)</f>
        <v/>
      </c>
      <c r="D53" s="23" t="n">
        <v>15</v>
      </c>
      <c r="E53" s="23" t="n">
        <v>16</v>
      </c>
      <c r="F53" s="24" t="n">
        <v>492.9</v>
      </c>
      <c r="G53" s="25" t="n">
        <v>165.9602</v>
      </c>
      <c r="H53" s="25" t="n">
        <v>22.0063</v>
      </c>
      <c r="I53" s="25" t="n">
        <v>21.0825</v>
      </c>
      <c r="J53" s="26" t="n">
        <v>15.2373</v>
      </c>
      <c r="K53" s="25" t="n">
        <v>58.0469</v>
      </c>
      <c r="L53" s="25" t="n">
        <v>209.6823</v>
      </c>
      <c r="M53" s="23" t="n">
        <v>41111</v>
      </c>
      <c r="N53" s="26" t="n">
        <v>0.159501</v>
      </c>
      <c r="O53" s="24" t="n">
        <v>398.633593</v>
      </c>
      <c r="P53" s="23" t="n">
        <v>39863</v>
      </c>
      <c r="Q53" s="23" t="inlineStr">
        <is>
          <t>off</t>
        </is>
      </c>
      <c r="R53" s="23" t="inlineStr">
        <is>
          <t>SELECTED</t>
        </is>
      </c>
    </row>
    <row r="55">
      <c r="A55" s="15" t="inlineStr">
        <is>
          <t>ClusterMinerE   —   Score ESG 19   —   non certificato   —   blocchi proposti 0</t>
        </is>
      </c>
    </row>
    <row r="56">
      <c r="A56" s="6" t="inlineStr">
        <is>
          <t xml:space="preserve">    Azienda 1</t>
        </is>
      </c>
      <c r="B56" s="5" t="n">
        <v>13</v>
      </c>
      <c r="C56" s="16" t="n">
        <v>1.82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10</v>
      </c>
      <c r="C57" s="16" t="n">
        <v>1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16</v>
      </c>
      <c r="C58" s="16" t="n">
        <v>2.72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9</v>
      </c>
      <c r="C59" s="16" t="n">
        <v>1.62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17</v>
      </c>
      <c r="C60" s="16" t="n">
        <v>1.87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12</v>
      </c>
      <c r="C61" s="16" t="n">
        <v>1.92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15</v>
      </c>
      <c r="C62" s="16" t="n">
        <v>1.65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18</v>
      </c>
      <c r="C63" s="16" t="n">
        <v>3.24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15</v>
      </c>
      <c r="C64" s="16" t="n">
        <v>2.1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16</v>
      </c>
      <c r="C65" s="16" t="n">
        <v>3.2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15</v>
      </c>
      <c r="F66" s="18" t="n">
        <v>686.66</v>
      </c>
      <c r="G66" s="19" t="n">
        <v>231.1994</v>
      </c>
      <c r="H66" s="19" t="n">
        <v>30.657</v>
      </c>
      <c r="I66" s="19" t="n">
        <v>28.5485</v>
      </c>
      <c r="J66" s="20" t="n">
        <v>44.4159</v>
      </c>
      <c r="K66" s="19" t="n">
        <v>39.1266</v>
      </c>
      <c r="L66" s="19" t="n">
        <v>297.774</v>
      </c>
      <c r="M66" s="17" t="n">
        <v>48195</v>
      </c>
      <c r="N66" s="20" t="n">
        <v>0.186986</v>
      </c>
      <c r="O66" s="18" t="n">
        <v>481.768704</v>
      </c>
      <c r="P66" s="17" t="n">
        <v>48177</v>
      </c>
      <c r="Q66" s="17" t="inlineStr">
        <is>
          <t>within-tol</t>
        </is>
      </c>
      <c r="R66" s="17" t="inlineStr"/>
    </row>
    <row r="68">
      <c r="A68" s="1" t="inlineStr">
        <is>
          <t>TOTALI EPOCH 18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132.6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15</v>
      </c>
      <c r="E74" s="12" t="n">
        <v>29.0024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17</v>
      </c>
      <c r="E75" s="12" t="n">
        <v>30.5213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15</v>
      </c>
      <c r="E76" s="12" t="n">
        <v>20.4129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16</v>
      </c>
      <c r="E77" s="12" t="n">
        <v>22.0063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15</v>
      </c>
      <c r="E78" s="12" t="n">
        <v>30.657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19  —  modalita wpoa  —  proposer ClusterMinerE (wpoa-weighted)  —  Theta (Tot Tx azienda) 662  —  monte premi alpha×Theta = 132.40 €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1</t>
        </is>
      </c>
    </row>
    <row r="4">
      <c r="A4" s="6" t="inlineStr">
        <is>
          <t xml:space="preserve">    Azienda 1</t>
        </is>
      </c>
      <c r="B4" s="5" t="n">
        <v>14</v>
      </c>
      <c r="C4" s="16" t="n">
        <v>1.54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12</v>
      </c>
      <c r="C5" s="16" t="n">
        <v>1.2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9</v>
      </c>
      <c r="C6" s="16" t="n">
        <v>1.26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16</v>
      </c>
      <c r="C7" s="16" t="n">
        <v>2.08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16</v>
      </c>
      <c r="C8" s="16" t="n">
        <v>2.08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12</v>
      </c>
      <c r="C9" s="16" t="n">
        <v>1.44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18</v>
      </c>
      <c r="C10" s="16" t="n">
        <v>1.98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17</v>
      </c>
      <c r="C11" s="16" t="n">
        <v>3.4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14</v>
      </c>
      <c r="C12" s="16" t="n">
        <v>2.52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14</v>
      </c>
      <c r="C13" s="16" t="n">
        <v>1.54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15</v>
      </c>
      <c r="F14" s="18" t="n">
        <v>680.8</v>
      </c>
      <c r="G14" s="19" t="n">
        <v>222.3601</v>
      </c>
      <c r="H14" s="19" t="n">
        <v>29.4405</v>
      </c>
      <c r="I14" s="19" t="n">
        <v>29.0891</v>
      </c>
      <c r="J14" s="20" t="n">
        <v>1.3925</v>
      </c>
      <c r="K14" s="19" t="n">
        <v>95.43170000000001</v>
      </c>
      <c r="L14" s="19" t="n">
        <v>301.3702</v>
      </c>
      <c r="M14" s="17" t="n">
        <v>68993</v>
      </c>
      <c r="N14" s="20" t="n">
        <v>0.257614</v>
      </c>
      <c r="O14" s="18" t="n">
        <v>668.580651</v>
      </c>
      <c r="P14" s="17" t="n">
        <v>66858</v>
      </c>
      <c r="Q14" s="17" t="inlineStr">
        <is>
          <t>off</t>
        </is>
      </c>
      <c r="R14" s="17" t="inlineStr"/>
    </row>
    <row r="16">
      <c r="A16" s="15" t="inlineStr">
        <is>
          <t>ClusterMinerB   —   Score ESG 19   —   ISO 14001 + ISO 50001   —   blocchi proposti 1</t>
        </is>
      </c>
    </row>
    <row r="17">
      <c r="A17" s="6" t="inlineStr">
        <is>
          <t xml:space="preserve">    Azienda 1</t>
        </is>
      </c>
      <c r="B17" s="5" t="n">
        <v>11</v>
      </c>
      <c r="C17" s="16" t="n">
        <v>1.76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15</v>
      </c>
      <c r="C18" s="16" t="n">
        <v>1.5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13</v>
      </c>
      <c r="C19" s="16" t="n">
        <v>1.3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17</v>
      </c>
      <c r="C20" s="16" t="n">
        <v>1.87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12</v>
      </c>
      <c r="C21" s="16" t="n">
        <v>1.56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17</v>
      </c>
      <c r="C22" s="16" t="n">
        <v>2.21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16</v>
      </c>
      <c r="C23" s="16" t="n">
        <v>2.88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10</v>
      </c>
      <c r="C24" s="16" t="n">
        <v>1.9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15</v>
      </c>
      <c r="C25" s="16" t="n">
        <v>1.5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11</v>
      </c>
      <c r="C26" s="16" t="n">
        <v>1.98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20</v>
      </c>
      <c r="F27" s="18" t="n">
        <v>730.74</v>
      </c>
      <c r="G27" s="19" t="n">
        <v>238.6713</v>
      </c>
      <c r="H27" s="19" t="n">
        <v>31.6001</v>
      </c>
      <c r="I27" s="19" t="n">
        <v>30.4661</v>
      </c>
      <c r="J27" s="20" t="n">
        <v>3.6598</v>
      </c>
      <c r="K27" s="19" t="n">
        <v>89.2756</v>
      </c>
      <c r="L27" s="19" t="n">
        <v>315.1789</v>
      </c>
      <c r="M27" s="17" t="n">
        <v>70886</v>
      </c>
      <c r="N27" s="20" t="n">
        <v>0.264683</v>
      </c>
      <c r="O27" s="18" t="n">
        <v>704.48481</v>
      </c>
      <c r="P27" s="17" t="n">
        <v>70448</v>
      </c>
      <c r="Q27" s="17" t="inlineStr">
        <is>
          <t>within-tol</t>
        </is>
      </c>
      <c r="R27" s="17" t="inlineStr"/>
    </row>
    <row r="29">
      <c r="A29" s="15" t="inlineStr">
        <is>
          <t>ClusterMinerC   —   Score ESG 13   —   ISO 9001   —   blocchi proposti 2</t>
        </is>
      </c>
    </row>
    <row r="30">
      <c r="A30" s="6" t="inlineStr">
        <is>
          <t xml:space="preserve">    Azienda 1</t>
        </is>
      </c>
      <c r="B30" s="5" t="n">
        <v>16</v>
      </c>
      <c r="C30" s="16" t="n">
        <v>3.2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13</v>
      </c>
      <c r="C31" s="16" t="n">
        <v>2.34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10</v>
      </c>
      <c r="C32" s="16" t="n">
        <v>1.6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11</v>
      </c>
      <c r="C33" s="16" t="n">
        <v>1.43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10</v>
      </c>
      <c r="C34" s="16" t="n">
        <v>1.7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8</v>
      </c>
      <c r="C35" s="16" t="n">
        <v>1.52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14</v>
      </c>
      <c r="C36" s="16" t="n">
        <v>1.96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16</v>
      </c>
      <c r="C37" s="16" t="n">
        <v>1.6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11</v>
      </c>
      <c r="C38" s="16" t="n">
        <v>1.32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12</v>
      </c>
      <c r="C39" s="16" t="n">
        <v>1.92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17</v>
      </c>
      <c r="F40" s="18" t="n">
        <v>462.67</v>
      </c>
      <c r="G40" s="19" t="n">
        <v>151.1154</v>
      </c>
      <c r="H40" s="19" t="n">
        <v>20.0077</v>
      </c>
      <c r="I40" s="19" t="n">
        <v>19.6677</v>
      </c>
      <c r="J40" s="20" t="n">
        <v>6.2893</v>
      </c>
      <c r="K40" s="19" t="n">
        <v>75.77030000000001</v>
      </c>
      <c r="L40" s="19" t="n">
        <v>226.4426</v>
      </c>
      <c r="M40" s="17" t="n">
        <v>40823</v>
      </c>
      <c r="N40" s="20" t="n">
        <v>0.15243</v>
      </c>
      <c r="O40" s="18" t="n">
        <v>411.448478</v>
      </c>
      <c r="P40" s="17" t="n">
        <v>41145</v>
      </c>
      <c r="Q40" s="17" t="inlineStr">
        <is>
          <t>within-tol</t>
        </is>
      </c>
      <c r="R40" s="17" t="inlineStr"/>
    </row>
    <row r="42">
      <c r="A42" s="15" t="inlineStr">
        <is>
          <t>ClusterMinerD   —   Score ESG 15   —   ISO 14001   —   blocchi proposti 0</t>
        </is>
      </c>
    </row>
    <row r="43">
      <c r="A43" s="6" t="inlineStr">
        <is>
          <t xml:space="preserve">    Azienda 1</t>
        </is>
      </c>
      <c r="B43" s="5" t="n">
        <v>10</v>
      </c>
      <c r="C43" s="16" t="n">
        <v>1.4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18</v>
      </c>
      <c r="C44" s="16" t="n">
        <v>2.16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12</v>
      </c>
      <c r="C45" s="16" t="n">
        <v>1.56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11</v>
      </c>
      <c r="C46" s="16" t="n">
        <v>1.65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8</v>
      </c>
      <c r="C47" s="16" t="n">
        <v>0.88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12</v>
      </c>
      <c r="C48" s="16" t="n">
        <v>1.32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17</v>
      </c>
      <c r="C49" s="16" t="n">
        <v>2.72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14</v>
      </c>
      <c r="C50" s="16" t="n">
        <v>1.54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17</v>
      </c>
      <c r="C51" s="16" t="n">
        <v>2.55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13</v>
      </c>
      <c r="C52" s="16" t="n">
        <v>1.95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15</v>
      </c>
      <c r="F53" s="18" t="n">
        <v>490.95</v>
      </c>
      <c r="G53" s="19" t="n">
        <v>160.3521</v>
      </c>
      <c r="H53" s="19" t="n">
        <v>21.2306</v>
      </c>
      <c r="I53" s="19" t="n">
        <v>21.8095</v>
      </c>
      <c r="J53" s="20" t="n">
        <v>14.6584</v>
      </c>
      <c r="K53" s="19" t="n">
        <v>59.8047</v>
      </c>
      <c r="L53" s="19" t="n">
        <v>230.9129</v>
      </c>
      <c r="M53" s="17" t="n">
        <v>38613</v>
      </c>
      <c r="N53" s="20" t="n">
        <v>0.144178</v>
      </c>
      <c r="O53" s="18" t="n">
        <v>387.965506</v>
      </c>
      <c r="P53" s="17" t="n">
        <v>38797</v>
      </c>
      <c r="Q53" s="17" t="inlineStr">
        <is>
          <t>within-tol</t>
        </is>
      </c>
      <c r="R53" s="17" t="inlineStr"/>
    </row>
    <row r="55">
      <c r="A55" s="21" t="inlineStr">
        <is>
          <t>ClusterMinerE   —   Score ESG 19   —   non certificato   —   blocchi proposti 2</t>
        </is>
      </c>
    </row>
    <row r="56">
      <c r="A56" s="6" t="inlineStr">
        <is>
          <t xml:space="preserve">    Azienda 1</t>
        </is>
      </c>
      <c r="B56" s="5" t="n">
        <v>11</v>
      </c>
      <c r="C56" s="16" t="n">
        <v>1.54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11</v>
      </c>
      <c r="C57" s="16" t="n">
        <v>1.1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13</v>
      </c>
      <c r="C58" s="16" t="n">
        <v>2.21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14</v>
      </c>
      <c r="C59" s="16" t="n">
        <v>2.52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10</v>
      </c>
      <c r="C60" s="16" t="n">
        <v>1.1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14</v>
      </c>
      <c r="C61" s="16" t="n">
        <v>2.24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17</v>
      </c>
      <c r="C62" s="16" t="n">
        <v>1.87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16</v>
      </c>
      <c r="C63" s="16" t="n">
        <v>2.88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10</v>
      </c>
      <c r="C64" s="16" t="n">
        <v>1.4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14</v>
      </c>
      <c r="C65" s="16" t="n">
        <v>2.8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22" t="inlineStr">
        <is>
          <t>TOTALE ClusterMinerE</t>
        </is>
      </c>
      <c r="B66" s="23">
        <f>SUM(B56:B65)</f>
        <v/>
      </c>
      <c r="C66" s="24">
        <f>SUM(C56:C65)</f>
        <v/>
      </c>
      <c r="D66" s="23" t="n">
        <v>19</v>
      </c>
      <c r="E66" s="23" t="n">
        <v>17</v>
      </c>
      <c r="F66" s="24" t="n">
        <v>696.54</v>
      </c>
      <c r="G66" s="25" t="n">
        <v>227.5011</v>
      </c>
      <c r="H66" s="25" t="n">
        <v>30.1211</v>
      </c>
      <c r="I66" s="25" t="n">
        <v>31.298</v>
      </c>
      <c r="J66" s="26" t="n">
        <v>43.239</v>
      </c>
      <c r="K66" s="25" t="n">
        <v>41.9899</v>
      </c>
      <c r="L66" s="25" t="n">
        <v>327.8951</v>
      </c>
      <c r="M66" s="23" t="n">
        <v>48500</v>
      </c>
      <c r="N66" s="26" t="n">
        <v>0.181095</v>
      </c>
      <c r="O66" s="24" t="n">
        <v>484.536263</v>
      </c>
      <c r="P66" s="23" t="n">
        <v>48454</v>
      </c>
      <c r="Q66" s="23" t="inlineStr">
        <is>
          <t>within-tol</t>
        </is>
      </c>
      <c r="R66" s="23" t="inlineStr">
        <is>
          <t>SELECTED</t>
        </is>
      </c>
    </row>
    <row r="68">
      <c r="A68" s="1" t="inlineStr">
        <is>
          <t>TOTALI EPOCH 19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132.4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15</v>
      </c>
      <c r="E74" s="12" t="n">
        <v>29.4405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20</v>
      </c>
      <c r="E75" s="12" t="n">
        <v>31.6001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17</v>
      </c>
      <c r="E76" s="12" t="n">
        <v>20.0077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15</v>
      </c>
      <c r="E77" s="12" t="n">
        <v>21.2306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17</v>
      </c>
      <c r="E78" s="12" t="n">
        <v>30.1211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20  —  modalita wpoa  —  proposer ClusterMinerB (wpoa-weighted)  —  Theta (Tot Tx azienda) 641  —  monte premi alpha×Theta = 128.20 €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2</t>
        </is>
      </c>
    </row>
    <row r="4">
      <c r="A4" s="6" t="inlineStr">
        <is>
          <t xml:space="preserve">    Azienda 1</t>
        </is>
      </c>
      <c r="B4" s="5" t="n">
        <v>10</v>
      </c>
      <c r="C4" s="16" t="n">
        <v>1.1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16</v>
      </c>
      <c r="C5" s="16" t="n">
        <v>1.6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15</v>
      </c>
      <c r="C6" s="16" t="n">
        <v>2.1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12</v>
      </c>
      <c r="C7" s="16" t="n">
        <v>1.56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12</v>
      </c>
      <c r="C8" s="16" t="n">
        <v>1.56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10</v>
      </c>
      <c r="C9" s="16" t="n">
        <v>1.2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11</v>
      </c>
      <c r="C10" s="16" t="n">
        <v>1.21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15</v>
      </c>
      <c r="C11" s="16" t="n">
        <v>3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14</v>
      </c>
      <c r="C12" s="16" t="n">
        <v>2.52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17</v>
      </c>
      <c r="C13" s="16" t="n">
        <v>1.87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18</v>
      </c>
      <c r="F14" s="18" t="n">
        <v>714.4</v>
      </c>
      <c r="G14" s="19" t="n">
        <v>228.3435</v>
      </c>
      <c r="H14" s="19" t="n">
        <v>29.2736</v>
      </c>
      <c r="I14" s="19" t="n">
        <v>29.3891</v>
      </c>
      <c r="J14" s="20" t="n">
        <v>1.277</v>
      </c>
      <c r="K14" s="19" t="n">
        <v>95.83580000000001</v>
      </c>
      <c r="L14" s="19" t="n">
        <v>330.6438</v>
      </c>
      <c r="M14" s="17" t="n">
        <v>69476</v>
      </c>
      <c r="N14" s="20" t="n">
        <v>0.255838</v>
      </c>
      <c r="O14" s="18" t="n">
        <v>698.081926</v>
      </c>
      <c r="P14" s="17" t="n">
        <v>69808</v>
      </c>
      <c r="Q14" s="17" t="inlineStr">
        <is>
          <t>within-tol</t>
        </is>
      </c>
      <c r="R14" s="17" t="inlineStr"/>
    </row>
    <row r="16">
      <c r="A16" s="21" t="inlineStr">
        <is>
          <t>ClusterMinerB   —   Score ESG 19   —   ISO 14001 + ISO 50001   —   blocchi proposti 2</t>
        </is>
      </c>
    </row>
    <row r="17">
      <c r="A17" s="6" t="inlineStr">
        <is>
          <t xml:space="preserve">    Azienda 1</t>
        </is>
      </c>
      <c r="B17" s="5" t="n">
        <v>10</v>
      </c>
      <c r="C17" s="16" t="n">
        <v>1.6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11</v>
      </c>
      <c r="C18" s="16" t="n">
        <v>1.1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10</v>
      </c>
      <c r="C19" s="16" t="n">
        <v>1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14</v>
      </c>
      <c r="C20" s="16" t="n">
        <v>1.54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8</v>
      </c>
      <c r="C21" s="16" t="n">
        <v>1.04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16</v>
      </c>
      <c r="C22" s="16" t="n">
        <v>2.08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11</v>
      </c>
      <c r="C23" s="16" t="n">
        <v>1.98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11</v>
      </c>
      <c r="C24" s="16" t="n">
        <v>2.09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15</v>
      </c>
      <c r="C25" s="16" t="n">
        <v>1.5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15</v>
      </c>
      <c r="C26" s="16" t="n">
        <v>2.7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22" t="inlineStr">
        <is>
          <t>TOTALE ClusterMinerB</t>
        </is>
      </c>
      <c r="B27" s="23">
        <f>SUM(B17:B26)</f>
        <v/>
      </c>
      <c r="C27" s="24">
        <f>SUM(C17:C26)</f>
        <v/>
      </c>
      <c r="D27" s="23" t="n">
        <v>19</v>
      </c>
      <c r="E27" s="23" t="n">
        <v>16</v>
      </c>
      <c r="F27" s="24" t="n">
        <v>619.97</v>
      </c>
      <c r="G27" s="25" t="n">
        <v>198.1609</v>
      </c>
      <c r="H27" s="25" t="n">
        <v>25.4042</v>
      </c>
      <c r="I27" s="25" t="n">
        <v>26.5404</v>
      </c>
      <c r="J27" s="26" t="n">
        <v>2.5236</v>
      </c>
      <c r="K27" s="25" t="n">
        <v>91.3171</v>
      </c>
      <c r="L27" s="25" t="n">
        <v>340.5831</v>
      </c>
      <c r="M27" s="23" t="n">
        <v>61007</v>
      </c>
      <c r="N27" s="26" t="n">
        <v>0.224652</v>
      </c>
      <c r="O27" s="24" t="n">
        <v>586.725951</v>
      </c>
      <c r="P27" s="23" t="n">
        <v>58673</v>
      </c>
      <c r="Q27" s="23" t="inlineStr">
        <is>
          <t>off</t>
        </is>
      </c>
      <c r="R27" s="23" t="inlineStr">
        <is>
          <t>SELECTED</t>
        </is>
      </c>
    </row>
    <row r="29">
      <c r="A29" s="15" t="inlineStr">
        <is>
          <t>ClusterMinerC   —   Score ESG 13   —   ISO 9001   —   blocchi proposti 0</t>
        </is>
      </c>
    </row>
    <row r="30">
      <c r="A30" s="6" t="inlineStr">
        <is>
          <t xml:space="preserve">    Azienda 1</t>
        </is>
      </c>
      <c r="B30" s="5" t="n">
        <v>13</v>
      </c>
      <c r="C30" s="16" t="n">
        <v>2.6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16</v>
      </c>
      <c r="C31" s="16" t="n">
        <v>2.88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9</v>
      </c>
      <c r="C32" s="16" t="n">
        <v>1.44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8</v>
      </c>
      <c r="C33" s="16" t="n">
        <v>1.04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11</v>
      </c>
      <c r="C34" s="16" t="n">
        <v>1.87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10</v>
      </c>
      <c r="C35" s="16" t="n">
        <v>1.9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16</v>
      </c>
      <c r="C36" s="16" t="n">
        <v>2.24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13</v>
      </c>
      <c r="C37" s="16" t="n">
        <v>1.3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9</v>
      </c>
      <c r="C38" s="16" t="n">
        <v>1.08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13</v>
      </c>
      <c r="C39" s="16" t="n">
        <v>2.08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19</v>
      </c>
      <c r="F40" s="18" t="n">
        <v>486.59</v>
      </c>
      <c r="G40" s="19" t="n">
        <v>155.5286</v>
      </c>
      <c r="H40" s="19" t="n">
        <v>19.9388</v>
      </c>
      <c r="I40" s="19" t="n">
        <v>20.2482</v>
      </c>
      <c r="J40" s="20" t="n">
        <v>5.9799</v>
      </c>
      <c r="K40" s="19" t="n">
        <v>77.2004</v>
      </c>
      <c r="L40" s="19" t="n">
        <v>246.3814</v>
      </c>
      <c r="M40" s="17" t="n">
        <v>42693</v>
      </c>
      <c r="N40" s="20" t="n">
        <v>0.157213</v>
      </c>
      <c r="O40" s="18" t="n">
        <v>427.640382</v>
      </c>
      <c r="P40" s="17" t="n">
        <v>42764</v>
      </c>
      <c r="Q40" s="17" t="inlineStr">
        <is>
          <t>within-tol</t>
        </is>
      </c>
      <c r="R40" s="17" t="inlineStr"/>
    </row>
    <row r="42">
      <c r="A42" s="15" t="inlineStr">
        <is>
          <t>ClusterMinerD   —   Score ESG 15   —   ISO 14001   —   blocchi proposti 1</t>
        </is>
      </c>
    </row>
    <row r="43">
      <c r="A43" s="6" t="inlineStr">
        <is>
          <t xml:space="preserve">    Azienda 1</t>
        </is>
      </c>
      <c r="B43" s="5" t="n">
        <v>10</v>
      </c>
      <c r="C43" s="16" t="n">
        <v>1.4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10</v>
      </c>
      <c r="C44" s="16" t="n">
        <v>1.2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9</v>
      </c>
      <c r="C45" s="16" t="n">
        <v>1.17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15</v>
      </c>
      <c r="C46" s="16" t="n">
        <v>2.25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16</v>
      </c>
      <c r="C47" s="16" t="n">
        <v>1.76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9</v>
      </c>
      <c r="C48" s="16" t="n">
        <v>0.99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13</v>
      </c>
      <c r="C49" s="16" t="n">
        <v>2.08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12</v>
      </c>
      <c r="C50" s="16" t="n">
        <v>1.32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18</v>
      </c>
      <c r="C51" s="16" t="n">
        <v>2.7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16</v>
      </c>
      <c r="C52" s="16" t="n">
        <v>2.4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19</v>
      </c>
      <c r="F53" s="18" t="n">
        <v>544.05</v>
      </c>
      <c r="G53" s="19" t="n">
        <v>173.8946</v>
      </c>
      <c r="H53" s="19" t="n">
        <v>22.2933</v>
      </c>
      <c r="I53" s="19" t="n">
        <v>22.8829</v>
      </c>
      <c r="J53" s="20" t="n">
        <v>14.0688</v>
      </c>
      <c r="K53" s="19" t="n">
        <v>61.9265</v>
      </c>
      <c r="L53" s="19" t="n">
        <v>253.2062</v>
      </c>
      <c r="M53" s="17" t="n">
        <v>43637</v>
      </c>
      <c r="N53" s="20" t="n">
        <v>0.160689</v>
      </c>
      <c r="O53" s="18" t="n">
        <v>434.708599</v>
      </c>
      <c r="P53" s="17" t="n">
        <v>43471</v>
      </c>
      <c r="Q53" s="17" t="inlineStr">
        <is>
          <t>within-tol</t>
        </is>
      </c>
      <c r="R53" s="17" t="inlineStr"/>
    </row>
    <row r="55">
      <c r="A55" s="15" t="inlineStr">
        <is>
          <t>ClusterMinerE   —   Score ESG 19   —   non certificato   —   blocchi proposti 1</t>
        </is>
      </c>
    </row>
    <row r="56">
      <c r="A56" s="6" t="inlineStr">
        <is>
          <t xml:space="preserve">    Azienda 1</t>
        </is>
      </c>
      <c r="B56" s="5" t="n">
        <v>12</v>
      </c>
      <c r="C56" s="16" t="n">
        <v>1.68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16</v>
      </c>
      <c r="C57" s="16" t="n">
        <v>1.6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13</v>
      </c>
      <c r="C58" s="16" t="n">
        <v>2.21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16</v>
      </c>
      <c r="C59" s="16" t="n">
        <v>2.88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15</v>
      </c>
      <c r="C60" s="16" t="n">
        <v>1.65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13</v>
      </c>
      <c r="C61" s="16" t="n">
        <v>2.08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15</v>
      </c>
      <c r="C62" s="16" t="n">
        <v>1.65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15</v>
      </c>
      <c r="C63" s="16" t="n">
        <v>2.7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11</v>
      </c>
      <c r="C64" s="16" t="n">
        <v>1.54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16</v>
      </c>
      <c r="C65" s="16" t="n">
        <v>3.2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19</v>
      </c>
      <c r="F66" s="18" t="n">
        <v>763.61</v>
      </c>
      <c r="G66" s="19" t="n">
        <v>244.0725</v>
      </c>
      <c r="H66" s="19" t="n">
        <v>31.2901</v>
      </c>
      <c r="I66" s="19" t="n">
        <v>29.5412</v>
      </c>
      <c r="J66" s="20" t="n">
        <v>44.9879</v>
      </c>
      <c r="K66" s="19" t="n">
        <v>39.6371</v>
      </c>
      <c r="L66" s="19" t="n">
        <v>359.1852</v>
      </c>
      <c r="M66" s="17" t="n">
        <v>54749</v>
      </c>
      <c r="N66" s="20" t="n">
        <v>0.201608</v>
      </c>
      <c r="O66" s="18" t="n">
        <v>542.124477</v>
      </c>
      <c r="P66" s="17" t="n">
        <v>54212</v>
      </c>
      <c r="Q66" s="17" t="inlineStr">
        <is>
          <t>within-tol</t>
        </is>
      </c>
      <c r="R66" s="17" t="inlineStr"/>
    </row>
    <row r="68">
      <c r="A68" s="1" t="inlineStr">
        <is>
          <t>TOTALI EPOCH 20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128.2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18</v>
      </c>
      <c r="E74" s="12" t="n">
        <v>29.2736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16</v>
      </c>
      <c r="E75" s="12" t="n">
        <v>25.4042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19</v>
      </c>
      <c r="E76" s="12" t="n">
        <v>19.9388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19</v>
      </c>
      <c r="E77" s="12" t="n">
        <v>22.2933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19</v>
      </c>
      <c r="E78" s="12" t="n">
        <v>31.2901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21  —  modalita wpoa  —  proposer ClusterMinerE (wpoa-weighted)  —  Theta (Tot Tx azienda) 492  —  monte premi alpha×Theta = 98.40 €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1</t>
        </is>
      </c>
    </row>
    <row r="4">
      <c r="A4" s="6" t="inlineStr">
        <is>
          <t xml:space="preserve">    Azienda 1</t>
        </is>
      </c>
      <c r="B4" s="5" t="n">
        <v>11</v>
      </c>
      <c r="C4" s="16" t="n">
        <v>1.21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9</v>
      </c>
      <c r="C5" s="16" t="n">
        <v>0.9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9</v>
      </c>
      <c r="C6" s="16" t="n">
        <v>1.26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10</v>
      </c>
      <c r="C7" s="16" t="n">
        <v>1.3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13</v>
      </c>
      <c r="C8" s="16" t="n">
        <v>1.69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6</v>
      </c>
      <c r="C9" s="16" t="n">
        <v>0.72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6</v>
      </c>
      <c r="C10" s="16" t="n">
        <v>0.66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9</v>
      </c>
      <c r="C11" s="16" t="n">
        <v>1.8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12</v>
      </c>
      <c r="C12" s="16" t="n">
        <v>2.16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9</v>
      </c>
      <c r="C13" s="16" t="n">
        <v>0.99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14</v>
      </c>
      <c r="F14" s="18" t="n">
        <v>533.8</v>
      </c>
      <c r="G14" s="19" t="n">
        <v>216.9495</v>
      </c>
      <c r="H14" s="19" t="n">
        <v>21.3478</v>
      </c>
      <c r="I14" s="19" t="n">
        <v>22.5585</v>
      </c>
      <c r="J14" s="20" t="n">
        <v>0.0663</v>
      </c>
      <c r="K14" s="19" t="n">
        <v>99.70699999999999</v>
      </c>
      <c r="L14" s="19" t="n">
        <v>351.9916</v>
      </c>
      <c r="M14" s="17" t="n">
        <v>51746</v>
      </c>
      <c r="N14" s="20" t="n">
        <v>0.244724</v>
      </c>
      <c r="O14" s="18" t="n">
        <v>522.68573</v>
      </c>
      <c r="P14" s="17" t="n">
        <v>52269</v>
      </c>
      <c r="Q14" s="17" t="inlineStr">
        <is>
          <t>off</t>
        </is>
      </c>
      <c r="R14" s="17" t="inlineStr"/>
    </row>
    <row r="16">
      <c r="A16" s="15" t="inlineStr">
        <is>
          <t>ClusterMinerB   —   Score ESG 19   —   ISO 14001 + ISO 50001   —   blocchi proposti 2</t>
        </is>
      </c>
    </row>
    <row r="17">
      <c r="A17" s="6" t="inlineStr">
        <is>
          <t xml:space="preserve">    Azienda 1</t>
        </is>
      </c>
      <c r="B17" s="5" t="n">
        <v>10</v>
      </c>
      <c r="C17" s="16" t="n">
        <v>1.6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10</v>
      </c>
      <c r="C18" s="16" t="n">
        <v>1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9</v>
      </c>
      <c r="C19" s="16" t="n">
        <v>0.9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8</v>
      </c>
      <c r="C20" s="16" t="n">
        <v>0.88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8</v>
      </c>
      <c r="C21" s="16" t="n">
        <v>1.04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10</v>
      </c>
      <c r="C22" s="16" t="n">
        <v>1.3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11</v>
      </c>
      <c r="C23" s="16" t="n">
        <v>1.98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12</v>
      </c>
      <c r="C24" s="16" t="n">
        <v>2.28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11</v>
      </c>
      <c r="C25" s="16" t="n">
        <v>1.1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12</v>
      </c>
      <c r="C26" s="16" t="n">
        <v>2.16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14</v>
      </c>
      <c r="F27" s="18" t="n">
        <v>536.5599999999999</v>
      </c>
      <c r="G27" s="19" t="n">
        <v>218.0713</v>
      </c>
      <c r="H27" s="19" t="n">
        <v>21.4582</v>
      </c>
      <c r="I27" s="19" t="n">
        <v>21.7527</v>
      </c>
      <c r="J27" s="20" t="n">
        <v>2.2291</v>
      </c>
      <c r="K27" s="19" t="n">
        <v>90.705</v>
      </c>
      <c r="L27" s="19" t="n">
        <v>362.0413</v>
      </c>
      <c r="M27" s="17" t="n">
        <v>50911</v>
      </c>
      <c r="N27" s="20" t="n">
        <v>0.240775</v>
      </c>
      <c r="O27" s="18" t="n">
        <v>513.265498</v>
      </c>
      <c r="P27" s="17" t="n">
        <v>51327</v>
      </c>
      <c r="Q27" s="17" t="inlineStr">
        <is>
          <t>within-tol</t>
        </is>
      </c>
      <c r="R27" s="17" t="inlineStr"/>
    </row>
    <row r="29">
      <c r="A29" s="15" t="inlineStr">
        <is>
          <t>ClusterMinerC   —   Score ESG 13   —   ISO 9001   —   blocchi proposti 0</t>
        </is>
      </c>
    </row>
    <row r="30">
      <c r="A30" s="6" t="inlineStr">
        <is>
          <t xml:space="preserve">    Azienda 1</t>
        </is>
      </c>
      <c r="B30" s="5" t="n">
        <v>11</v>
      </c>
      <c r="C30" s="16" t="n">
        <v>2.2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11</v>
      </c>
      <c r="C31" s="16" t="n">
        <v>1.98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9</v>
      </c>
      <c r="C32" s="16" t="n">
        <v>1.44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10</v>
      </c>
      <c r="C33" s="16" t="n">
        <v>1.3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13</v>
      </c>
      <c r="C34" s="16" t="n">
        <v>2.21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8</v>
      </c>
      <c r="C35" s="16" t="n">
        <v>1.52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13</v>
      </c>
      <c r="C36" s="16" t="n">
        <v>1.82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8</v>
      </c>
      <c r="C37" s="16" t="n">
        <v>0.8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10</v>
      </c>
      <c r="C38" s="16" t="n">
        <v>1.2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10</v>
      </c>
      <c r="C39" s="16" t="n">
        <v>1.6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14</v>
      </c>
      <c r="F40" s="18" t="n">
        <v>390.91</v>
      </c>
      <c r="G40" s="19" t="n">
        <v>158.8755</v>
      </c>
      <c r="H40" s="19" t="n">
        <v>15.6333</v>
      </c>
      <c r="I40" s="19" t="n">
        <v>15.9737</v>
      </c>
      <c r="J40" s="20" t="n">
        <v>5.6395</v>
      </c>
      <c r="K40" s="19" t="n">
        <v>73.9071</v>
      </c>
      <c r="L40" s="19" t="n">
        <v>262.0147</v>
      </c>
      <c r="M40" s="17" t="n">
        <v>34562</v>
      </c>
      <c r="N40" s="20" t="n">
        <v>0.163455</v>
      </c>
      <c r="O40" s="18" t="n">
        <v>346.347056</v>
      </c>
      <c r="P40" s="17" t="n">
        <v>34635</v>
      </c>
      <c r="Q40" s="17" t="inlineStr">
        <is>
          <t>within-tol</t>
        </is>
      </c>
      <c r="R40" s="17" t="inlineStr"/>
    </row>
    <row r="42">
      <c r="A42" s="15" t="inlineStr">
        <is>
          <t>ClusterMinerD   —   Score ESG 15   —   ISO 14001   —   blocchi proposti 0</t>
        </is>
      </c>
    </row>
    <row r="43">
      <c r="A43" s="6" t="inlineStr">
        <is>
          <t xml:space="preserve">    Azienda 1</t>
        </is>
      </c>
      <c r="B43" s="5" t="n">
        <v>6</v>
      </c>
      <c r="C43" s="16" t="n">
        <v>0.84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7</v>
      </c>
      <c r="C44" s="16" t="n">
        <v>0.84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12</v>
      </c>
      <c r="C45" s="16" t="n">
        <v>1.56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10</v>
      </c>
      <c r="C46" s="16" t="n">
        <v>1.5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10</v>
      </c>
      <c r="C47" s="16" t="n">
        <v>1.1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7</v>
      </c>
      <c r="C48" s="16" t="n">
        <v>0.77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8</v>
      </c>
      <c r="C49" s="16" t="n">
        <v>1.28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11</v>
      </c>
      <c r="C50" s="16" t="n">
        <v>1.21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11</v>
      </c>
      <c r="C51" s="16" t="n">
        <v>1.65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12</v>
      </c>
      <c r="C52" s="16" t="n">
        <v>1.8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15</v>
      </c>
      <c r="F53" s="18" t="n">
        <v>413.25</v>
      </c>
      <c r="G53" s="19" t="n">
        <v>167.955</v>
      </c>
      <c r="H53" s="19" t="n">
        <v>16.5268</v>
      </c>
      <c r="I53" s="19" t="n">
        <v>18.9467</v>
      </c>
      <c r="J53" s="20" t="n">
        <v>11.6489</v>
      </c>
      <c r="K53" s="19" t="n">
        <v>61.9262</v>
      </c>
      <c r="L53" s="19" t="n">
        <v>269.733</v>
      </c>
      <c r="M53" s="17" t="n">
        <v>33287</v>
      </c>
      <c r="N53" s="20" t="n">
        <v>0.157426</v>
      </c>
      <c r="O53" s="18" t="n">
        <v>334.580661</v>
      </c>
      <c r="P53" s="17" t="n">
        <v>33458</v>
      </c>
      <c r="Q53" s="17" t="inlineStr">
        <is>
          <t>within-tol</t>
        </is>
      </c>
      <c r="R53" s="17" t="inlineStr"/>
    </row>
    <row r="55">
      <c r="A55" s="21" t="inlineStr">
        <is>
          <t>ClusterMinerE   —   Score ESG 19   —   non certificato   —   blocchi proposti 3</t>
        </is>
      </c>
    </row>
    <row r="56">
      <c r="A56" s="6" t="inlineStr">
        <is>
          <t xml:space="preserve">    Azienda 1</t>
        </is>
      </c>
      <c r="B56" s="5" t="n">
        <v>10</v>
      </c>
      <c r="C56" s="16" t="n">
        <v>1.4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13</v>
      </c>
      <c r="C57" s="16" t="n">
        <v>1.3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10</v>
      </c>
      <c r="C58" s="16" t="n">
        <v>1.7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13</v>
      </c>
      <c r="C59" s="16" t="n">
        <v>2.34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10</v>
      </c>
      <c r="C60" s="16" t="n">
        <v>1.1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8</v>
      </c>
      <c r="C61" s="16" t="n">
        <v>1.28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8</v>
      </c>
      <c r="C62" s="16" t="n">
        <v>0.88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11</v>
      </c>
      <c r="C63" s="16" t="n">
        <v>1.98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9</v>
      </c>
      <c r="C64" s="16" t="n">
        <v>1.26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8</v>
      </c>
      <c r="C65" s="16" t="n">
        <v>1.6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22" t="inlineStr">
        <is>
          <t>TOTALE ClusterMinerE</t>
        </is>
      </c>
      <c r="B66" s="23">
        <f>SUM(B56:B65)</f>
        <v/>
      </c>
      <c r="C66" s="24">
        <f>SUM(C56:C65)</f>
        <v/>
      </c>
      <c r="D66" s="23" t="n">
        <v>19</v>
      </c>
      <c r="E66" s="23" t="n">
        <v>16</v>
      </c>
      <c r="F66" s="24" t="n">
        <v>585.96</v>
      </c>
      <c r="G66" s="25" t="n">
        <v>238.1487</v>
      </c>
      <c r="H66" s="25" t="n">
        <v>23.4338</v>
      </c>
      <c r="I66" s="25" t="n">
        <v>26.5432</v>
      </c>
      <c r="J66" s="26" t="n">
        <v>41.8785</v>
      </c>
      <c r="K66" s="25" t="n">
        <v>38.7935</v>
      </c>
      <c r="L66" s="25" t="n">
        <v>382.619</v>
      </c>
      <c r="M66" s="23" t="n">
        <v>40940</v>
      </c>
      <c r="N66" s="26" t="n">
        <v>0.193619</v>
      </c>
      <c r="O66" s="24" t="n">
        <v>409.108878</v>
      </c>
      <c r="P66" s="23" t="n">
        <v>40911</v>
      </c>
      <c r="Q66" s="23" t="inlineStr">
        <is>
          <t>within-tol</t>
        </is>
      </c>
      <c r="R66" s="23" t="inlineStr">
        <is>
          <t>SELECTED</t>
        </is>
      </c>
    </row>
    <row r="68">
      <c r="A68" s="1" t="inlineStr">
        <is>
          <t>TOTALI EPOCH 21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98.40000000000001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14</v>
      </c>
      <c r="E74" s="12" t="n">
        <v>21.3478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14</v>
      </c>
      <c r="E75" s="12" t="n">
        <v>21.4582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14</v>
      </c>
      <c r="E76" s="12" t="n">
        <v>15.6333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15</v>
      </c>
      <c r="E77" s="12" t="n">
        <v>16.5268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16</v>
      </c>
      <c r="E78" s="12" t="n">
        <v>23.4338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22  —  modalita wpoa  —  proposer ClusterMinerC (wpoa-weighted)  —  Theta (Tot Tx azienda) 650  —  monte premi alpha×Theta = 130.00 €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1</t>
        </is>
      </c>
    </row>
    <row r="4">
      <c r="A4" s="6" t="inlineStr">
        <is>
          <t xml:space="preserve">    Azienda 1</t>
        </is>
      </c>
      <c r="B4" s="5" t="n">
        <v>14</v>
      </c>
      <c r="C4" s="16" t="n">
        <v>1.54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11</v>
      </c>
      <c r="C5" s="16" t="n">
        <v>1.1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11</v>
      </c>
      <c r="C6" s="16" t="n">
        <v>1.54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12</v>
      </c>
      <c r="C7" s="16" t="n">
        <v>1.56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16</v>
      </c>
      <c r="C8" s="16" t="n">
        <v>2.08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10</v>
      </c>
      <c r="C9" s="16" t="n">
        <v>1.2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11</v>
      </c>
      <c r="C10" s="16" t="n">
        <v>1.21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15</v>
      </c>
      <c r="C11" s="16" t="n">
        <v>3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13</v>
      </c>
      <c r="C12" s="16" t="n">
        <v>2.34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9</v>
      </c>
      <c r="C13" s="16" t="n">
        <v>0.99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14</v>
      </c>
      <c r="F14" s="18" t="n">
        <v>611.2</v>
      </c>
      <c r="G14" s="19" t="n">
        <v>210.2757</v>
      </c>
      <c r="H14" s="19" t="n">
        <v>27.3358</v>
      </c>
      <c r="I14" s="19" t="n">
        <v>27.4021</v>
      </c>
      <c r="J14" s="20" t="n">
        <v>0</v>
      </c>
      <c r="K14" s="19" t="n">
        <v>100</v>
      </c>
      <c r="L14" s="19" t="n">
        <v>379.3274</v>
      </c>
      <c r="M14" s="17" t="n">
        <v>60160</v>
      </c>
      <c r="N14" s="20" t="n">
        <v>0.239984</v>
      </c>
      <c r="O14" s="18" t="n">
        <v>610.304466</v>
      </c>
      <c r="P14" s="17" t="n">
        <v>61030</v>
      </c>
      <c r="Q14" s="17" t="inlineStr">
        <is>
          <t>off</t>
        </is>
      </c>
      <c r="R14" s="17" t="inlineStr"/>
    </row>
    <row r="16">
      <c r="A16" s="15" t="inlineStr">
        <is>
          <t>ClusterMinerB   —   Score ESG 19   —   ISO 14001 + ISO 50001   —   blocchi proposti 0</t>
        </is>
      </c>
    </row>
    <row r="17">
      <c r="A17" s="6" t="inlineStr">
        <is>
          <t xml:space="preserve">    Azienda 1</t>
        </is>
      </c>
      <c r="B17" s="5" t="n">
        <v>13</v>
      </c>
      <c r="C17" s="16" t="n">
        <v>2.08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13</v>
      </c>
      <c r="C18" s="16" t="n">
        <v>1.3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14</v>
      </c>
      <c r="C19" s="16" t="n">
        <v>1.4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12</v>
      </c>
      <c r="C20" s="16" t="n">
        <v>1.32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12</v>
      </c>
      <c r="C21" s="16" t="n">
        <v>1.56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14</v>
      </c>
      <c r="C22" s="16" t="n">
        <v>1.82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13</v>
      </c>
      <c r="C23" s="16" t="n">
        <v>2.34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13</v>
      </c>
      <c r="C24" s="16" t="n">
        <v>2.47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13</v>
      </c>
      <c r="C25" s="16" t="n">
        <v>1.3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13</v>
      </c>
      <c r="C26" s="16" t="n">
        <v>2.34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14</v>
      </c>
      <c r="F27" s="18" t="n">
        <v>606.67</v>
      </c>
      <c r="G27" s="19" t="n">
        <v>208.7172</v>
      </c>
      <c r="H27" s="19" t="n">
        <v>27.1332</v>
      </c>
      <c r="I27" s="19" t="n">
        <v>26.7633</v>
      </c>
      <c r="J27" s="20" t="n">
        <v>2.599</v>
      </c>
      <c r="K27" s="19" t="n">
        <v>91.1485</v>
      </c>
      <c r="L27" s="19" t="n">
        <v>389.1745</v>
      </c>
      <c r="M27" s="17" t="n">
        <v>57597</v>
      </c>
      <c r="N27" s="20" t="n">
        <v>0.22976</v>
      </c>
      <c r="O27" s="18" t="n">
        <v>578.475117</v>
      </c>
      <c r="P27" s="17" t="n">
        <v>57848</v>
      </c>
      <c r="Q27" s="17" t="inlineStr">
        <is>
          <t>within-tol</t>
        </is>
      </c>
      <c r="R27" s="17" t="inlineStr"/>
    </row>
    <row r="29">
      <c r="A29" s="21" t="inlineStr">
        <is>
          <t>ClusterMinerC   —   Score ESG 13   —   ISO 9001   —   blocchi proposti 2</t>
        </is>
      </c>
    </row>
    <row r="30">
      <c r="A30" s="6" t="inlineStr">
        <is>
          <t xml:space="preserve">    Azienda 1</t>
        </is>
      </c>
      <c r="B30" s="5" t="n">
        <v>15</v>
      </c>
      <c r="C30" s="16" t="n">
        <v>3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14</v>
      </c>
      <c r="C31" s="16" t="n">
        <v>2.52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10</v>
      </c>
      <c r="C32" s="16" t="n">
        <v>1.6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17</v>
      </c>
      <c r="C33" s="16" t="n">
        <v>2.21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14</v>
      </c>
      <c r="C34" s="16" t="n">
        <v>2.38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15</v>
      </c>
      <c r="C35" s="16" t="n">
        <v>2.85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13</v>
      </c>
      <c r="C36" s="16" t="n">
        <v>1.82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15</v>
      </c>
      <c r="C37" s="16" t="n">
        <v>1.5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14</v>
      </c>
      <c r="C38" s="16" t="n">
        <v>1.68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9</v>
      </c>
      <c r="C39" s="16" t="n">
        <v>1.44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22" t="inlineStr">
        <is>
          <t>TOTALE ClusterMinerC</t>
        </is>
      </c>
      <c r="B40" s="23">
        <f>SUM(B30:B39)</f>
        <v/>
      </c>
      <c r="C40" s="24">
        <f>SUM(C30:C39)</f>
        <v/>
      </c>
      <c r="D40" s="23" t="n">
        <v>13</v>
      </c>
      <c r="E40" s="23" t="n">
        <v>16</v>
      </c>
      <c r="F40" s="24" t="n">
        <v>481</v>
      </c>
      <c r="G40" s="25" t="n">
        <v>165.482</v>
      </c>
      <c r="H40" s="25" t="n">
        <v>21.5127</v>
      </c>
      <c r="I40" s="25" t="n">
        <v>20.2833</v>
      </c>
      <c r="J40" s="26" t="n">
        <v>6.8689</v>
      </c>
      <c r="K40" s="25" t="n">
        <v>74.7022</v>
      </c>
      <c r="L40" s="25" t="n">
        <v>283.5274</v>
      </c>
      <c r="M40" s="23" t="n">
        <v>41381</v>
      </c>
      <c r="N40" s="26" t="n">
        <v>0.165073</v>
      </c>
      <c r="O40" s="24" t="n">
        <v>418.246694</v>
      </c>
      <c r="P40" s="23" t="n">
        <v>41825</v>
      </c>
      <c r="Q40" s="23" t="inlineStr">
        <is>
          <t>off</t>
        </is>
      </c>
      <c r="R40" s="23" t="inlineStr">
        <is>
          <t>SELECTED</t>
        </is>
      </c>
    </row>
    <row r="42">
      <c r="A42" s="15" t="inlineStr">
        <is>
          <t>ClusterMinerD   —   Score ESG 15   —   ISO 14001   —   blocchi proposti 1</t>
        </is>
      </c>
    </row>
    <row r="43">
      <c r="A43" s="6" t="inlineStr">
        <is>
          <t xml:space="preserve">    Azienda 1</t>
        </is>
      </c>
      <c r="B43" s="5" t="n">
        <v>13</v>
      </c>
      <c r="C43" s="16" t="n">
        <v>1.82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14</v>
      </c>
      <c r="C44" s="16" t="n">
        <v>1.68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13</v>
      </c>
      <c r="C45" s="16" t="n">
        <v>1.69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14</v>
      </c>
      <c r="C46" s="16" t="n">
        <v>2.1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11</v>
      </c>
      <c r="C47" s="16" t="n">
        <v>1.21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11</v>
      </c>
      <c r="C48" s="16" t="n">
        <v>1.21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14</v>
      </c>
      <c r="C49" s="16" t="n">
        <v>2.24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13</v>
      </c>
      <c r="C50" s="16" t="n">
        <v>1.43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15</v>
      </c>
      <c r="C51" s="16" t="n">
        <v>2.25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14</v>
      </c>
      <c r="C52" s="16" t="n">
        <v>2.1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18</v>
      </c>
      <c r="F53" s="18" t="n">
        <v>535.95</v>
      </c>
      <c r="G53" s="19" t="n">
        <v>184.3869</v>
      </c>
      <c r="H53" s="19" t="n">
        <v>23.9703</v>
      </c>
      <c r="I53" s="19" t="n">
        <v>20.3474</v>
      </c>
      <c r="J53" s="20" t="n">
        <v>15.2718</v>
      </c>
      <c r="K53" s="19" t="n">
        <v>57.1248</v>
      </c>
      <c r="L53" s="19" t="n">
        <v>293.7033</v>
      </c>
      <c r="M53" s="17" t="n">
        <v>43295</v>
      </c>
      <c r="N53" s="20" t="n">
        <v>0.172708</v>
      </c>
      <c r="O53" s="18" t="n">
        <v>433.921801</v>
      </c>
      <c r="P53" s="17" t="n">
        <v>43392</v>
      </c>
      <c r="Q53" s="17" t="inlineStr">
        <is>
          <t>within-tol</t>
        </is>
      </c>
      <c r="R53" s="17" t="inlineStr"/>
    </row>
    <row r="55">
      <c r="A55" s="15" t="inlineStr">
        <is>
          <t>ClusterMinerE   —   Score ESG 19   —   non certificato   —   blocchi proposti 2</t>
        </is>
      </c>
    </row>
    <row r="56">
      <c r="A56" s="6" t="inlineStr">
        <is>
          <t xml:space="preserve">    Azienda 1</t>
        </is>
      </c>
      <c r="B56" s="5" t="n">
        <v>12</v>
      </c>
      <c r="C56" s="16" t="n">
        <v>1.68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13</v>
      </c>
      <c r="C57" s="16" t="n">
        <v>1.3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13</v>
      </c>
      <c r="C58" s="16" t="n">
        <v>2.21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16</v>
      </c>
      <c r="C59" s="16" t="n">
        <v>2.88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14</v>
      </c>
      <c r="C60" s="16" t="n">
        <v>1.54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9</v>
      </c>
      <c r="C61" s="16" t="n">
        <v>1.44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11</v>
      </c>
      <c r="C62" s="16" t="n">
        <v>1.21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14</v>
      </c>
      <c r="C63" s="16" t="n">
        <v>2.52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17</v>
      </c>
      <c r="C64" s="16" t="n">
        <v>2.38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11</v>
      </c>
      <c r="C65" s="16" t="n">
        <v>2.2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16</v>
      </c>
      <c r="F66" s="18" t="n">
        <v>671.84</v>
      </c>
      <c r="G66" s="19" t="n">
        <v>231.1381</v>
      </c>
      <c r="H66" s="19" t="n">
        <v>30.048</v>
      </c>
      <c r="I66" s="19" t="n">
        <v>30.0051</v>
      </c>
      <c r="J66" s="20" t="n">
        <v>41.9214</v>
      </c>
      <c r="K66" s="19" t="n">
        <v>41.7163</v>
      </c>
      <c r="L66" s="19" t="n">
        <v>412.667</v>
      </c>
      <c r="M66" s="17" t="n">
        <v>48250</v>
      </c>
      <c r="N66" s="20" t="n">
        <v>0.192474</v>
      </c>
      <c r="O66" s="18" t="n">
        <v>466.235262</v>
      </c>
      <c r="P66" s="17" t="n">
        <v>46624</v>
      </c>
      <c r="Q66" s="17" t="inlineStr">
        <is>
          <t>off</t>
        </is>
      </c>
      <c r="R66" s="17" t="inlineStr"/>
    </row>
    <row r="68">
      <c r="A68" s="1" t="inlineStr">
        <is>
          <t>TOTALI EPOCH 22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130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14</v>
      </c>
      <c r="E74" s="12" t="n">
        <v>27.3358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14</v>
      </c>
      <c r="E75" s="12" t="n">
        <v>27.1332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16</v>
      </c>
      <c r="E76" s="12" t="n">
        <v>21.5127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18</v>
      </c>
      <c r="E77" s="12" t="n">
        <v>23.9703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16</v>
      </c>
      <c r="E78" s="12" t="n">
        <v>30.048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23  —  modalita wpoa  —  proposer ClusterMinerA (wpoa-weighted)  —  Theta (Tot Tx azienda) 816  —  monte premi alpha×Theta = 163.20 €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21" t="inlineStr">
        <is>
          <t>ClusterMinerA   —   Score ESG 20   —   ISO 14001   —   blocchi proposti 2</t>
        </is>
      </c>
    </row>
    <row r="4">
      <c r="A4" s="6" t="inlineStr">
        <is>
          <t xml:space="preserve">    Azienda 1</t>
        </is>
      </c>
      <c r="B4" s="5" t="n">
        <v>16</v>
      </c>
      <c r="C4" s="16" t="n">
        <v>1.76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14</v>
      </c>
      <c r="C5" s="16" t="n">
        <v>1.4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19</v>
      </c>
      <c r="C6" s="16" t="n">
        <v>2.66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13</v>
      </c>
      <c r="C7" s="16" t="n">
        <v>1.69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16</v>
      </c>
      <c r="C8" s="16" t="n">
        <v>2.08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18</v>
      </c>
      <c r="C9" s="16" t="n">
        <v>2.16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16</v>
      </c>
      <c r="C10" s="16" t="n">
        <v>1.76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15</v>
      </c>
      <c r="C11" s="16" t="n">
        <v>3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18</v>
      </c>
      <c r="C12" s="16" t="n">
        <v>3.24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18</v>
      </c>
      <c r="C13" s="16" t="n">
        <v>1.98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22" t="inlineStr">
        <is>
          <t>TOTALE ClusterMinerA</t>
        </is>
      </c>
      <c r="B14" s="23">
        <f>SUM(B4:B13)</f>
        <v/>
      </c>
      <c r="C14" s="24">
        <f>SUM(C4:C13)</f>
        <v/>
      </c>
      <c r="D14" s="23" t="n">
        <v>20</v>
      </c>
      <c r="E14" s="23" t="n">
        <v>15</v>
      </c>
      <c r="F14" s="24" t="n">
        <v>734.6</v>
      </c>
      <c r="G14" s="25" t="n">
        <v>203.4576</v>
      </c>
      <c r="H14" s="25" t="n">
        <v>33.2043</v>
      </c>
      <c r="I14" s="25" t="n">
        <v>33.2043</v>
      </c>
      <c r="J14" s="26" t="n">
        <v>0</v>
      </c>
      <c r="K14" s="25" t="n">
        <v>100</v>
      </c>
      <c r="L14" s="25" t="n">
        <v>412.5317</v>
      </c>
      <c r="M14" s="23" t="n">
        <v>73156</v>
      </c>
      <c r="N14" s="26" t="n">
        <v>0.234722</v>
      </c>
      <c r="O14" s="24" t="n">
        <v>734.6</v>
      </c>
      <c r="P14" s="23" t="n">
        <v>73460</v>
      </c>
      <c r="Q14" s="23" t="inlineStr">
        <is>
          <t>within-tol</t>
        </is>
      </c>
      <c r="R14" s="23" t="inlineStr">
        <is>
          <t>SELECTED</t>
        </is>
      </c>
    </row>
    <row r="16">
      <c r="A16" s="15" t="inlineStr">
        <is>
          <t>ClusterMinerB   —   Score ESG 19   —   ISO 14001 + ISO 50001   —   blocchi proposti 1</t>
        </is>
      </c>
    </row>
    <row r="17">
      <c r="A17" s="6" t="inlineStr">
        <is>
          <t xml:space="preserve">    Azienda 1</t>
        </is>
      </c>
      <c r="B17" s="5" t="n">
        <v>18</v>
      </c>
      <c r="C17" s="16" t="n">
        <v>2.88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14</v>
      </c>
      <c r="C18" s="16" t="n">
        <v>1.4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21</v>
      </c>
      <c r="C19" s="16" t="n">
        <v>2.1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10</v>
      </c>
      <c r="C20" s="16" t="n">
        <v>1.1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21</v>
      </c>
      <c r="C21" s="16" t="n">
        <v>2.73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20</v>
      </c>
      <c r="C22" s="16" t="n">
        <v>2.6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12</v>
      </c>
      <c r="C23" s="16" t="n">
        <v>2.16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15</v>
      </c>
      <c r="C24" s="16" t="n">
        <v>2.85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15</v>
      </c>
      <c r="C25" s="16" t="n">
        <v>1.5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18</v>
      </c>
      <c r="C26" s="16" t="n">
        <v>3.24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23</v>
      </c>
      <c r="F27" s="18" t="n">
        <v>865.64</v>
      </c>
      <c r="G27" s="19" t="n">
        <v>239.751</v>
      </c>
      <c r="H27" s="19" t="n">
        <v>39.1274</v>
      </c>
      <c r="I27" s="19" t="n">
        <v>36.4967</v>
      </c>
      <c r="J27" s="20" t="n">
        <v>5.2297</v>
      </c>
      <c r="K27" s="19" t="n">
        <v>87.4667</v>
      </c>
      <c r="L27" s="19" t="n">
        <v>428.3019</v>
      </c>
      <c r="M27" s="17" t="n">
        <v>82428</v>
      </c>
      <c r="N27" s="20" t="n">
        <v>0.264471</v>
      </c>
      <c r="O27" s="18" t="n">
        <v>827.328996</v>
      </c>
      <c r="P27" s="17" t="n">
        <v>82733</v>
      </c>
      <c r="Q27" s="17" t="inlineStr">
        <is>
          <t>within-tol</t>
        </is>
      </c>
      <c r="R27" s="17" t="inlineStr"/>
    </row>
    <row r="29">
      <c r="A29" s="15" t="inlineStr">
        <is>
          <t>ClusterMinerC   —   Score ESG 13   —   ISO 9001   —   blocchi proposti 1</t>
        </is>
      </c>
    </row>
    <row r="30">
      <c r="A30" s="6" t="inlineStr">
        <is>
          <t xml:space="preserve">    Azienda 1</t>
        </is>
      </c>
      <c r="B30" s="5" t="n">
        <v>13</v>
      </c>
      <c r="C30" s="16" t="n">
        <v>2.6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18</v>
      </c>
      <c r="C31" s="16" t="n">
        <v>3.24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18</v>
      </c>
      <c r="C32" s="16" t="n">
        <v>2.88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13</v>
      </c>
      <c r="C33" s="16" t="n">
        <v>1.69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19</v>
      </c>
      <c r="C34" s="16" t="n">
        <v>3.23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19</v>
      </c>
      <c r="C35" s="16" t="n">
        <v>3.61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16</v>
      </c>
      <c r="C36" s="16" t="n">
        <v>2.24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20</v>
      </c>
      <c r="C37" s="16" t="n">
        <v>2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11</v>
      </c>
      <c r="C38" s="16" t="n">
        <v>1.32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13</v>
      </c>
      <c r="C39" s="16" t="n">
        <v>2.08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18</v>
      </c>
      <c r="F40" s="18" t="n">
        <v>557.5700000000001</v>
      </c>
      <c r="G40" s="19" t="n">
        <v>154.4267</v>
      </c>
      <c r="H40" s="19" t="n">
        <v>25.2024</v>
      </c>
      <c r="I40" s="19" t="n">
        <v>23.9828</v>
      </c>
      <c r="J40" s="20" t="n">
        <v>8.0885</v>
      </c>
      <c r="K40" s="19" t="n">
        <v>74.7796</v>
      </c>
      <c r="L40" s="19" t="n">
        <v>308.7298</v>
      </c>
      <c r="M40" s="17" t="n">
        <v>48348</v>
      </c>
      <c r="N40" s="20" t="n">
        <v>0.155125</v>
      </c>
      <c r="O40" s="18" t="n">
        <v>487.043623</v>
      </c>
      <c r="P40" s="17" t="n">
        <v>48704</v>
      </c>
      <c r="Q40" s="17" t="inlineStr">
        <is>
          <t>within-tol</t>
        </is>
      </c>
      <c r="R40" s="17" t="inlineStr"/>
    </row>
    <row r="42">
      <c r="A42" s="15" t="inlineStr">
        <is>
          <t>ClusterMinerD   —   Score ESG 15   —   ISO 14001   —   blocchi proposti 0</t>
        </is>
      </c>
    </row>
    <row r="43">
      <c r="A43" s="6" t="inlineStr">
        <is>
          <t xml:space="preserve">    Azienda 1</t>
        </is>
      </c>
      <c r="B43" s="5" t="n">
        <v>18</v>
      </c>
      <c r="C43" s="16" t="n">
        <v>2.52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22</v>
      </c>
      <c r="C44" s="16" t="n">
        <v>2.64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17</v>
      </c>
      <c r="C45" s="16" t="n">
        <v>2.21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17</v>
      </c>
      <c r="C46" s="16" t="n">
        <v>2.55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13</v>
      </c>
      <c r="C47" s="16" t="n">
        <v>1.43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14</v>
      </c>
      <c r="C48" s="16" t="n">
        <v>1.54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15</v>
      </c>
      <c r="C49" s="16" t="n">
        <v>2.4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16</v>
      </c>
      <c r="C50" s="16" t="n">
        <v>1.76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22</v>
      </c>
      <c r="C51" s="16" t="n">
        <v>3.3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14</v>
      </c>
      <c r="C52" s="16" t="n">
        <v>2.1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23</v>
      </c>
      <c r="F53" s="18" t="n">
        <v>681.75</v>
      </c>
      <c r="G53" s="19" t="n">
        <v>188.8201</v>
      </c>
      <c r="H53" s="19" t="n">
        <v>30.8154</v>
      </c>
      <c r="I53" s="19" t="n">
        <v>27.1516</v>
      </c>
      <c r="J53" s="20" t="n">
        <v>18.9356</v>
      </c>
      <c r="K53" s="19" t="n">
        <v>58.9135</v>
      </c>
      <c r="L53" s="19" t="n">
        <v>324.5187</v>
      </c>
      <c r="M53" s="17" t="n">
        <v>53273</v>
      </c>
      <c r="N53" s="20" t="n">
        <v>0.170927</v>
      </c>
      <c r="O53" s="18" t="n">
        <v>535.599193</v>
      </c>
      <c r="P53" s="17" t="n">
        <v>53560</v>
      </c>
      <c r="Q53" s="17" t="inlineStr">
        <is>
          <t>within-tol</t>
        </is>
      </c>
      <c r="R53" s="17" t="inlineStr"/>
    </row>
    <row r="55">
      <c r="A55" s="15" t="inlineStr">
        <is>
          <t>ClusterMinerE   —   Score ESG 19   —   non certificato   —   blocchi proposti 2</t>
        </is>
      </c>
    </row>
    <row r="56">
      <c r="A56" s="6" t="inlineStr">
        <is>
          <t xml:space="preserve">    Azienda 1</t>
        </is>
      </c>
      <c r="B56" s="5" t="n">
        <v>16</v>
      </c>
      <c r="C56" s="16" t="n">
        <v>2.24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13</v>
      </c>
      <c r="C57" s="16" t="n">
        <v>1.3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20</v>
      </c>
      <c r="C58" s="16" t="n">
        <v>3.4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14</v>
      </c>
      <c r="C59" s="16" t="n">
        <v>2.52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15</v>
      </c>
      <c r="C60" s="16" t="n">
        <v>1.65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12</v>
      </c>
      <c r="C61" s="16" t="n">
        <v>1.92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13</v>
      </c>
      <c r="C62" s="16" t="n">
        <v>1.43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23</v>
      </c>
      <c r="C63" s="16" t="n">
        <v>4.14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17</v>
      </c>
      <c r="C64" s="16" t="n">
        <v>2.38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18</v>
      </c>
      <c r="C65" s="16" t="n">
        <v>3.6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16</v>
      </c>
      <c r="F66" s="18" t="n">
        <v>771.02</v>
      </c>
      <c r="G66" s="19" t="n">
        <v>213.5446</v>
      </c>
      <c r="H66" s="19" t="n">
        <v>34.8505</v>
      </c>
      <c r="I66" s="19" t="n">
        <v>30.9027</v>
      </c>
      <c r="J66" s="20" t="n">
        <v>45.8692</v>
      </c>
      <c r="K66" s="19" t="n">
        <v>40.2526</v>
      </c>
      <c r="L66" s="19" t="n">
        <v>447.5175</v>
      </c>
      <c r="M66" s="17" t="n">
        <v>54466</v>
      </c>
      <c r="N66" s="20" t="n">
        <v>0.174755</v>
      </c>
      <c r="O66" s="18" t="n">
        <v>546.330645</v>
      </c>
      <c r="P66" s="17" t="n">
        <v>54633</v>
      </c>
      <c r="Q66" s="17" t="inlineStr">
        <is>
          <t>within-tol</t>
        </is>
      </c>
      <c r="R66" s="17" t="inlineStr"/>
    </row>
    <row r="68">
      <c r="A68" s="1" t="inlineStr">
        <is>
          <t>TOTALI EPOCH 23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163.2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15</v>
      </c>
      <c r="E74" s="12" t="n">
        <v>33.2043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23</v>
      </c>
      <c r="E75" s="12" t="n">
        <v>39.1274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18</v>
      </c>
      <c r="E76" s="12" t="n">
        <v>25.2024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23</v>
      </c>
      <c r="E77" s="12" t="n">
        <v>30.8154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16</v>
      </c>
      <c r="E78" s="12" t="n">
        <v>34.8505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24  —  modalita wpoa  —  proposer ClusterMinerE (wpoa-weighted)  —  Theta (Tot Tx azienda) 649  —  monte premi alpha×Theta = 129.80 €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1</t>
        </is>
      </c>
    </row>
    <row r="4">
      <c r="A4" s="6" t="inlineStr">
        <is>
          <t xml:space="preserve">    Azienda 1</t>
        </is>
      </c>
      <c r="B4" s="5" t="n">
        <v>12</v>
      </c>
      <c r="C4" s="16" t="n">
        <v>1.32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12</v>
      </c>
      <c r="C5" s="16" t="n">
        <v>1.2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17</v>
      </c>
      <c r="C6" s="16" t="n">
        <v>2.38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10</v>
      </c>
      <c r="C7" s="16" t="n">
        <v>1.3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13</v>
      </c>
      <c r="C8" s="16" t="n">
        <v>1.69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14</v>
      </c>
      <c r="C9" s="16" t="n">
        <v>1.68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14</v>
      </c>
      <c r="C10" s="16" t="n">
        <v>1.54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10</v>
      </c>
      <c r="C11" s="16" t="n">
        <v>2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13</v>
      </c>
      <c r="C12" s="16" t="n">
        <v>2.34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17</v>
      </c>
      <c r="C13" s="16" t="n">
        <v>1.87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17</v>
      </c>
      <c r="F14" s="18" t="n">
        <v>686.4</v>
      </c>
      <c r="G14" s="19" t="n">
        <v>221.9607</v>
      </c>
      <c r="H14" s="19" t="n">
        <v>28.8105</v>
      </c>
      <c r="I14" s="19" t="n">
        <v>28.3663</v>
      </c>
      <c r="J14" s="20" t="n">
        <v>0.4442</v>
      </c>
      <c r="K14" s="19" t="n">
        <v>98.45820000000001</v>
      </c>
      <c r="L14" s="19" t="n">
        <v>441.3422</v>
      </c>
      <c r="M14" s="17" t="n">
        <v>68387</v>
      </c>
      <c r="N14" s="20" t="n">
        <v>0.257885</v>
      </c>
      <c r="O14" s="18" t="n">
        <v>686.4</v>
      </c>
      <c r="P14" s="17" t="n">
        <v>68640</v>
      </c>
      <c r="Q14" s="17" t="inlineStr">
        <is>
          <t>within-tol</t>
        </is>
      </c>
      <c r="R14" s="17" t="inlineStr"/>
    </row>
    <row r="16">
      <c r="A16" s="15" t="inlineStr">
        <is>
          <t>ClusterMinerB   —   Score ESG 19   —   ISO 14001 + ISO 50001   —   blocchi proposti 1</t>
        </is>
      </c>
    </row>
    <row r="17">
      <c r="A17" s="6" t="inlineStr">
        <is>
          <t xml:space="preserve">    Azienda 1</t>
        </is>
      </c>
      <c r="B17" s="5" t="n">
        <v>14</v>
      </c>
      <c r="C17" s="16" t="n">
        <v>2.24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15</v>
      </c>
      <c r="C18" s="16" t="n">
        <v>1.5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11</v>
      </c>
      <c r="C19" s="16" t="n">
        <v>1.1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12</v>
      </c>
      <c r="C20" s="16" t="n">
        <v>1.32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10</v>
      </c>
      <c r="C21" s="16" t="n">
        <v>1.3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18</v>
      </c>
      <c r="C22" s="16" t="n">
        <v>2.34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8</v>
      </c>
      <c r="C23" s="16" t="n">
        <v>1.44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15</v>
      </c>
      <c r="C24" s="16" t="n">
        <v>2.85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13</v>
      </c>
      <c r="C25" s="16" t="n">
        <v>1.3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12</v>
      </c>
      <c r="C26" s="16" t="n">
        <v>2.16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14</v>
      </c>
      <c r="F27" s="18" t="n">
        <v>599.45</v>
      </c>
      <c r="G27" s="19" t="n">
        <v>193.8437</v>
      </c>
      <c r="H27" s="19" t="n">
        <v>25.1609</v>
      </c>
      <c r="I27" s="19" t="n">
        <v>27.767</v>
      </c>
      <c r="J27" s="20" t="n">
        <v>2.6236</v>
      </c>
      <c r="K27" s="19" t="n">
        <v>91.36709999999999</v>
      </c>
      <c r="L27" s="19" t="n">
        <v>453.4628</v>
      </c>
      <c r="M27" s="17" t="n">
        <v>56146</v>
      </c>
      <c r="N27" s="20" t="n">
        <v>0.211725</v>
      </c>
      <c r="O27" s="18" t="n">
        <v>561.88453</v>
      </c>
      <c r="P27" s="17" t="n">
        <v>56188</v>
      </c>
      <c r="Q27" s="17" t="inlineStr">
        <is>
          <t>within-tol</t>
        </is>
      </c>
      <c r="R27" s="17" t="inlineStr"/>
    </row>
    <row r="29">
      <c r="A29" s="15" t="inlineStr">
        <is>
          <t>ClusterMinerC   —   Score ESG 13   —   ISO 9001   —   blocchi proposti 1</t>
        </is>
      </c>
    </row>
    <row r="30">
      <c r="A30" s="6" t="inlineStr">
        <is>
          <t xml:space="preserve">    Azienda 1</t>
        </is>
      </c>
      <c r="B30" s="5" t="n">
        <v>15</v>
      </c>
      <c r="C30" s="16" t="n">
        <v>3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14</v>
      </c>
      <c r="C31" s="16" t="n">
        <v>2.52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12</v>
      </c>
      <c r="C32" s="16" t="n">
        <v>1.92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12</v>
      </c>
      <c r="C33" s="16" t="n">
        <v>1.56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17</v>
      </c>
      <c r="C34" s="16" t="n">
        <v>2.89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14</v>
      </c>
      <c r="C35" s="16" t="n">
        <v>2.66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13</v>
      </c>
      <c r="C36" s="16" t="n">
        <v>1.82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13</v>
      </c>
      <c r="C37" s="16" t="n">
        <v>1.3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9</v>
      </c>
      <c r="C38" s="16" t="n">
        <v>1.08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13</v>
      </c>
      <c r="C39" s="16" t="n">
        <v>2.08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20</v>
      </c>
      <c r="F40" s="18" t="n">
        <v>530.79</v>
      </c>
      <c r="G40" s="19" t="n">
        <v>171.6412</v>
      </c>
      <c r="H40" s="19" t="n">
        <v>22.279</v>
      </c>
      <c r="I40" s="19" t="n">
        <v>23.1091</v>
      </c>
      <c r="J40" s="20" t="n">
        <v>7.2584</v>
      </c>
      <c r="K40" s="19" t="n">
        <v>76.0981</v>
      </c>
      <c r="L40" s="19" t="n">
        <v>331.0088</v>
      </c>
      <c r="M40" s="17" t="n">
        <v>46198</v>
      </c>
      <c r="N40" s="20" t="n">
        <v>0.174211</v>
      </c>
      <c r="O40" s="18" t="n">
        <v>463.856403</v>
      </c>
      <c r="P40" s="17" t="n">
        <v>46386</v>
      </c>
      <c r="Q40" s="17" t="inlineStr">
        <is>
          <t>within-tol</t>
        </is>
      </c>
      <c r="R40" s="17" t="inlineStr"/>
    </row>
    <row r="42">
      <c r="A42" s="15" t="inlineStr">
        <is>
          <t>ClusterMinerD   —   Score ESG 15   —   ISO 14001   —   blocchi proposti 1</t>
        </is>
      </c>
    </row>
    <row r="43">
      <c r="A43" s="6" t="inlineStr">
        <is>
          <t xml:space="preserve">    Azienda 1</t>
        </is>
      </c>
      <c r="B43" s="5" t="n">
        <v>10</v>
      </c>
      <c r="C43" s="16" t="n">
        <v>1.4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16</v>
      </c>
      <c r="C44" s="16" t="n">
        <v>1.92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16</v>
      </c>
      <c r="C45" s="16" t="n">
        <v>2.08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12</v>
      </c>
      <c r="C46" s="16" t="n">
        <v>1.8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14</v>
      </c>
      <c r="C47" s="16" t="n">
        <v>1.54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15</v>
      </c>
      <c r="C48" s="16" t="n">
        <v>1.65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17</v>
      </c>
      <c r="C49" s="16" t="n">
        <v>2.72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11</v>
      </c>
      <c r="C50" s="16" t="n">
        <v>1.21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11</v>
      </c>
      <c r="C51" s="16" t="n">
        <v>1.65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13</v>
      </c>
      <c r="C52" s="16" t="n">
        <v>1.95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19</v>
      </c>
      <c r="F53" s="18" t="n">
        <v>553.8</v>
      </c>
      <c r="G53" s="19" t="n">
        <v>179.0819</v>
      </c>
      <c r="H53" s="19" t="n">
        <v>23.2448</v>
      </c>
      <c r="I53" s="19" t="n">
        <v>25.0565</v>
      </c>
      <c r="J53" s="20" t="n">
        <v>17.1239</v>
      </c>
      <c r="K53" s="19" t="n">
        <v>59.4032</v>
      </c>
      <c r="L53" s="19" t="n">
        <v>347.7635</v>
      </c>
      <c r="M53" s="17" t="n">
        <v>43792</v>
      </c>
      <c r="N53" s="20" t="n">
        <v>0.165138</v>
      </c>
      <c r="O53" s="18" t="n">
        <v>440.031586</v>
      </c>
      <c r="P53" s="17" t="n">
        <v>44003</v>
      </c>
      <c r="Q53" s="17" t="inlineStr">
        <is>
          <t>within-tol</t>
        </is>
      </c>
      <c r="R53" s="17" t="inlineStr"/>
    </row>
    <row r="55">
      <c r="A55" s="21" t="inlineStr">
        <is>
          <t>ClusterMinerE   —   Score ESG 19   —   non certificato   —   blocchi proposti 2</t>
        </is>
      </c>
    </row>
    <row r="56">
      <c r="A56" s="6" t="inlineStr">
        <is>
          <t xml:space="preserve">    Azienda 1</t>
        </is>
      </c>
      <c r="B56" s="5" t="n">
        <v>11</v>
      </c>
      <c r="C56" s="16" t="n">
        <v>1.54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9</v>
      </c>
      <c r="C57" s="16" t="n">
        <v>0.9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17</v>
      </c>
      <c r="C58" s="16" t="n">
        <v>2.89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8</v>
      </c>
      <c r="C59" s="16" t="n">
        <v>1.44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12</v>
      </c>
      <c r="C60" s="16" t="n">
        <v>1.32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13</v>
      </c>
      <c r="C61" s="16" t="n">
        <v>2.08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17</v>
      </c>
      <c r="C62" s="16" t="n">
        <v>1.87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13</v>
      </c>
      <c r="C63" s="16" t="n">
        <v>2.34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13</v>
      </c>
      <c r="C64" s="16" t="n">
        <v>1.82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9</v>
      </c>
      <c r="C65" s="16" t="n">
        <v>1.8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22" t="inlineStr">
        <is>
          <t>TOTALE ClusterMinerE</t>
        </is>
      </c>
      <c r="B66" s="23">
        <f>SUM(B56:B65)</f>
        <v/>
      </c>
      <c r="C66" s="24">
        <f>SUM(C56:C65)</f>
        <v/>
      </c>
      <c r="D66" s="23" t="n">
        <v>19</v>
      </c>
      <c r="E66" s="23" t="n">
        <v>20</v>
      </c>
      <c r="F66" s="24" t="n">
        <v>722</v>
      </c>
      <c r="G66" s="25" t="n">
        <v>233.4726</v>
      </c>
      <c r="H66" s="25" t="n">
        <v>30.3047</v>
      </c>
      <c r="I66" s="25" t="n">
        <v>31.5429</v>
      </c>
      <c r="J66" s="26" t="n">
        <v>44.631</v>
      </c>
      <c r="K66" s="25" t="n">
        <v>41.4091</v>
      </c>
      <c r="L66" s="25" t="n">
        <v>477.8222</v>
      </c>
      <c r="M66" s="23" t="n">
        <v>50661</v>
      </c>
      <c r="N66" s="26" t="n">
        <v>0.191041</v>
      </c>
      <c r="O66" s="24" t="n">
        <v>506.311953</v>
      </c>
      <c r="P66" s="23" t="n">
        <v>50631</v>
      </c>
      <c r="Q66" s="23" t="inlineStr">
        <is>
          <t>within-tol</t>
        </is>
      </c>
      <c r="R66" s="23" t="inlineStr">
        <is>
          <t>SELECTED</t>
        </is>
      </c>
    </row>
    <row r="68">
      <c r="A68" s="1" t="inlineStr">
        <is>
          <t>TOTALI EPOCH 24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129.8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17</v>
      </c>
      <c r="E74" s="12" t="n">
        <v>28.8105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14</v>
      </c>
      <c r="E75" s="12" t="n">
        <v>25.1609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20</v>
      </c>
      <c r="E76" s="12" t="n">
        <v>22.279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19</v>
      </c>
      <c r="E77" s="12" t="n">
        <v>23.2448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20</v>
      </c>
      <c r="E78" s="12" t="n">
        <v>30.3047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25  —  modalita wpoa  —  proposer ClusterMinerA (wpoa-weighted)  —  Theta (Tot Tx azienda) 628  —  monte premi alpha×Theta = 125.60 €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21" t="inlineStr">
        <is>
          <t>ClusterMinerA   —   Score ESG 20   —   ISO 14001   —   blocchi proposti 3</t>
        </is>
      </c>
    </row>
    <row r="4">
      <c r="A4" s="6" t="inlineStr">
        <is>
          <t xml:space="preserve">    Azienda 1</t>
        </is>
      </c>
      <c r="B4" s="5" t="n">
        <v>11</v>
      </c>
      <c r="C4" s="16" t="n">
        <v>1.21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14</v>
      </c>
      <c r="C5" s="16" t="n">
        <v>1.4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17</v>
      </c>
      <c r="C6" s="16" t="n">
        <v>2.38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15</v>
      </c>
      <c r="C7" s="16" t="n">
        <v>1.95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16</v>
      </c>
      <c r="C8" s="16" t="n">
        <v>2.08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9</v>
      </c>
      <c r="C9" s="16" t="n">
        <v>1.08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10</v>
      </c>
      <c r="C10" s="16" t="n">
        <v>1.1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11</v>
      </c>
      <c r="C11" s="16" t="n">
        <v>2.2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9</v>
      </c>
      <c r="C12" s="16" t="n">
        <v>1.62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12</v>
      </c>
      <c r="C13" s="16" t="n">
        <v>1.32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22" t="inlineStr">
        <is>
          <t>TOTALE ClusterMinerA</t>
        </is>
      </c>
      <c r="B14" s="23">
        <f>SUM(B4:B13)</f>
        <v/>
      </c>
      <c r="C14" s="24">
        <f>SUM(C4:C13)</f>
        <v/>
      </c>
      <c r="D14" s="23" t="n">
        <v>20</v>
      </c>
      <c r="E14" s="23" t="n">
        <v>20</v>
      </c>
      <c r="F14" s="24" t="n">
        <v>726.8</v>
      </c>
      <c r="G14" s="25" t="n">
        <v>256.926</v>
      </c>
      <c r="H14" s="25" t="n">
        <v>32.2699</v>
      </c>
      <c r="I14" s="25" t="n">
        <v>32.7141</v>
      </c>
      <c r="J14" s="26" t="n">
        <v>0</v>
      </c>
      <c r="K14" s="25" t="n">
        <v>100</v>
      </c>
      <c r="L14" s="25" t="n">
        <v>473.6121</v>
      </c>
      <c r="M14" s="23" t="n">
        <v>71065</v>
      </c>
      <c r="N14" s="26" t="n">
        <v>0.289555</v>
      </c>
      <c r="O14" s="24" t="n">
        <v>721.197102</v>
      </c>
      <c r="P14" s="23" t="n">
        <v>72120</v>
      </c>
      <c r="Q14" s="23" t="inlineStr">
        <is>
          <t>off</t>
        </is>
      </c>
      <c r="R14" s="23" t="inlineStr">
        <is>
          <t>SELECTED</t>
        </is>
      </c>
    </row>
    <row r="16">
      <c r="A16" s="15" t="inlineStr">
        <is>
          <t>ClusterMinerB   —   Score ESG 19   —   ISO 14001 + ISO 50001   —   blocchi proposti 0</t>
        </is>
      </c>
    </row>
    <row r="17">
      <c r="A17" s="6" t="inlineStr">
        <is>
          <t xml:space="preserve">    Azienda 1</t>
        </is>
      </c>
      <c r="B17" s="5" t="n">
        <v>15</v>
      </c>
      <c r="C17" s="16" t="n">
        <v>2.4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17</v>
      </c>
      <c r="C18" s="16" t="n">
        <v>1.7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15</v>
      </c>
      <c r="C19" s="16" t="n">
        <v>1.5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15</v>
      </c>
      <c r="C20" s="16" t="n">
        <v>1.65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11</v>
      </c>
      <c r="C21" s="16" t="n">
        <v>1.43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18</v>
      </c>
      <c r="C22" s="16" t="n">
        <v>2.34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14</v>
      </c>
      <c r="C23" s="16" t="n">
        <v>2.52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14</v>
      </c>
      <c r="C24" s="16" t="n">
        <v>2.66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9</v>
      </c>
      <c r="C25" s="16" t="n">
        <v>0.9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13</v>
      </c>
      <c r="C26" s="16" t="n">
        <v>2.34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13</v>
      </c>
      <c r="F27" s="18" t="n">
        <v>616.36</v>
      </c>
      <c r="G27" s="19" t="n">
        <v>217.8851</v>
      </c>
      <c r="H27" s="19" t="n">
        <v>27.3664</v>
      </c>
      <c r="I27" s="19" t="n">
        <v>26.7497</v>
      </c>
      <c r="J27" s="20" t="n">
        <v>3.2403</v>
      </c>
      <c r="K27" s="19" t="n">
        <v>89.19540000000001</v>
      </c>
      <c r="L27" s="19" t="n">
        <v>480.8292</v>
      </c>
      <c r="M27" s="17" t="n">
        <v>58374</v>
      </c>
      <c r="N27" s="20" t="n">
        <v>0.237846</v>
      </c>
      <c r="O27" s="18" t="n">
        <v>589.755028</v>
      </c>
      <c r="P27" s="17" t="n">
        <v>58976</v>
      </c>
      <c r="Q27" s="17" t="inlineStr">
        <is>
          <t>off</t>
        </is>
      </c>
      <c r="R27" s="17" t="inlineStr"/>
    </row>
    <row r="29">
      <c r="A29" s="15" t="inlineStr">
        <is>
          <t>ClusterMinerC   —   Score ESG 13   —   ISO 9001   —   blocchi proposti 1</t>
        </is>
      </c>
    </row>
    <row r="30">
      <c r="A30" s="6" t="inlineStr">
        <is>
          <t xml:space="preserve">    Azienda 1</t>
        </is>
      </c>
      <c r="B30" s="5" t="n">
        <v>17</v>
      </c>
      <c r="C30" s="16" t="n">
        <v>3.4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12</v>
      </c>
      <c r="C31" s="16" t="n">
        <v>2.16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9</v>
      </c>
      <c r="C32" s="16" t="n">
        <v>1.44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14</v>
      </c>
      <c r="C33" s="16" t="n">
        <v>1.82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16</v>
      </c>
      <c r="C34" s="16" t="n">
        <v>2.72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12</v>
      </c>
      <c r="C35" s="16" t="n">
        <v>2.28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15</v>
      </c>
      <c r="C36" s="16" t="n">
        <v>2.1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13</v>
      </c>
      <c r="C37" s="16" t="n">
        <v>1.3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12</v>
      </c>
      <c r="C38" s="16" t="n">
        <v>1.44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16</v>
      </c>
      <c r="C39" s="16" t="n">
        <v>2.56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12</v>
      </c>
      <c r="F40" s="18" t="n">
        <v>431.86</v>
      </c>
      <c r="G40" s="19" t="n">
        <v>152.6638</v>
      </c>
      <c r="H40" s="19" t="n">
        <v>19.1746</v>
      </c>
      <c r="I40" s="19" t="n">
        <v>19.2926</v>
      </c>
      <c r="J40" s="20" t="n">
        <v>7.1404</v>
      </c>
      <c r="K40" s="19" t="n">
        <v>72.9868</v>
      </c>
      <c r="L40" s="19" t="n">
        <v>350.1834</v>
      </c>
      <c r="M40" s="17" t="n">
        <v>37660</v>
      </c>
      <c r="N40" s="20" t="n">
        <v>0.153446</v>
      </c>
      <c r="O40" s="18" t="n">
        <v>380.248695</v>
      </c>
      <c r="P40" s="17" t="n">
        <v>38025</v>
      </c>
      <c r="Q40" s="17" t="inlineStr">
        <is>
          <t>within-tol</t>
        </is>
      </c>
      <c r="R40" s="17" t="inlineStr"/>
    </row>
    <row r="42">
      <c r="A42" s="15" t="inlineStr">
        <is>
          <t>ClusterMinerD   —   Score ESG 15   —   ISO 14001   —   blocchi proposti 1</t>
        </is>
      </c>
    </row>
    <row r="43">
      <c r="A43" s="6" t="inlineStr">
        <is>
          <t xml:space="preserve">    Azienda 1</t>
        </is>
      </c>
      <c r="B43" s="5" t="n">
        <v>14</v>
      </c>
      <c r="C43" s="16" t="n">
        <v>1.96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17</v>
      </c>
      <c r="C44" s="16" t="n">
        <v>2.04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13</v>
      </c>
      <c r="C45" s="16" t="n">
        <v>1.69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16</v>
      </c>
      <c r="C46" s="16" t="n">
        <v>2.4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15</v>
      </c>
      <c r="C47" s="16" t="n">
        <v>1.65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16</v>
      </c>
      <c r="C48" s="16" t="n">
        <v>1.76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13</v>
      </c>
      <c r="C49" s="16" t="n">
        <v>2.08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6</v>
      </c>
      <c r="C50" s="16" t="n">
        <v>0.66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11</v>
      </c>
      <c r="C51" s="16" t="n">
        <v>1.65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9</v>
      </c>
      <c r="C52" s="16" t="n">
        <v>1.35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13</v>
      </c>
      <c r="F53" s="18" t="n">
        <v>453.6</v>
      </c>
      <c r="G53" s="19" t="n">
        <v>160.349</v>
      </c>
      <c r="H53" s="19" t="n">
        <v>20.1398</v>
      </c>
      <c r="I53" s="19" t="n">
        <v>22.2853</v>
      </c>
      <c r="J53" s="20" t="n">
        <v>14.9784</v>
      </c>
      <c r="K53" s="19" t="n">
        <v>59.8043</v>
      </c>
      <c r="L53" s="19" t="n">
        <v>367.9033</v>
      </c>
      <c r="M53" s="17" t="n">
        <v>36064</v>
      </c>
      <c r="N53" s="20" t="n">
        <v>0.146943</v>
      </c>
      <c r="O53" s="18" t="n">
        <v>361.526418</v>
      </c>
      <c r="P53" s="17" t="n">
        <v>36153</v>
      </c>
      <c r="Q53" s="17" t="inlineStr">
        <is>
          <t>within-tol</t>
        </is>
      </c>
      <c r="R53" s="17" t="inlineStr"/>
    </row>
    <row r="55">
      <c r="A55" s="15" t="inlineStr">
        <is>
          <t>ClusterMinerE   —   Score ESG 19   —   non certificato   —   blocchi proposti 1</t>
        </is>
      </c>
    </row>
    <row r="56">
      <c r="A56" s="6" t="inlineStr">
        <is>
          <t xml:space="preserve">    Azienda 1</t>
        </is>
      </c>
      <c r="B56" s="5" t="n">
        <v>11</v>
      </c>
      <c r="C56" s="16" t="n">
        <v>1.54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10</v>
      </c>
      <c r="C57" s="16" t="n">
        <v>1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10</v>
      </c>
      <c r="C58" s="16" t="n">
        <v>1.7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9</v>
      </c>
      <c r="C59" s="16" t="n">
        <v>1.62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8</v>
      </c>
      <c r="C60" s="16" t="n">
        <v>0.88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10</v>
      </c>
      <c r="C61" s="16" t="n">
        <v>1.6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9</v>
      </c>
      <c r="C62" s="16" t="n">
        <v>0.99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10</v>
      </c>
      <c r="C63" s="16" t="n">
        <v>1.8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9</v>
      </c>
      <c r="C64" s="16" t="n">
        <v>1.26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11</v>
      </c>
      <c r="C65" s="16" t="n">
        <v>2.2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17</v>
      </c>
      <c r="F66" s="18" t="n">
        <v>600.21</v>
      </c>
      <c r="G66" s="19" t="n">
        <v>212.1761</v>
      </c>
      <c r="H66" s="19" t="n">
        <v>26.6493</v>
      </c>
      <c r="I66" s="19" t="n">
        <v>28.5083</v>
      </c>
      <c r="J66" s="20" t="n">
        <v>42.772</v>
      </c>
      <c r="K66" s="19" t="n">
        <v>39.9946</v>
      </c>
      <c r="L66" s="19" t="n">
        <v>504.4715</v>
      </c>
      <c r="M66" s="17" t="n">
        <v>42265</v>
      </c>
      <c r="N66" s="20" t="n">
        <v>0.172209</v>
      </c>
      <c r="O66" s="18" t="n">
        <v>424.375675</v>
      </c>
      <c r="P66" s="17" t="n">
        <v>42438</v>
      </c>
      <c r="Q66" s="17" t="inlineStr">
        <is>
          <t>within-tol</t>
        </is>
      </c>
      <c r="R66" s="17" t="inlineStr"/>
    </row>
    <row r="68">
      <c r="A68" s="1" t="inlineStr">
        <is>
          <t>TOTALI EPOCH 25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125.6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20</v>
      </c>
      <c r="E74" s="12" t="n">
        <v>32.2699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13</v>
      </c>
      <c r="E75" s="12" t="n">
        <v>27.3664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12</v>
      </c>
      <c r="E76" s="12" t="n">
        <v>19.1746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13</v>
      </c>
      <c r="E77" s="12" t="n">
        <v>20.1398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17</v>
      </c>
      <c r="E78" s="12" t="n">
        <v>26.6493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26  —  modalita wpoa  —  proposer ClusterMinerA (wpoa-weighted)  —  Theta (Tot Tx azienda) 698  —  monte premi alpha×Theta = 139.60 €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21" t="inlineStr">
        <is>
          <t>ClusterMinerA   —   Score ESG 20   —   ISO 14001   —   blocchi proposti 3</t>
        </is>
      </c>
    </row>
    <row r="4">
      <c r="A4" s="6" t="inlineStr">
        <is>
          <t xml:space="preserve">    Azienda 1</t>
        </is>
      </c>
      <c r="B4" s="5" t="n">
        <v>14</v>
      </c>
      <c r="C4" s="16" t="n">
        <v>1.54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17</v>
      </c>
      <c r="C5" s="16" t="n">
        <v>1.7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12</v>
      </c>
      <c r="C6" s="16" t="n">
        <v>1.68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10</v>
      </c>
      <c r="C7" s="16" t="n">
        <v>1.3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17</v>
      </c>
      <c r="C8" s="16" t="n">
        <v>2.21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14</v>
      </c>
      <c r="C9" s="16" t="n">
        <v>1.68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13</v>
      </c>
      <c r="C10" s="16" t="n">
        <v>1.43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9</v>
      </c>
      <c r="C11" s="16" t="n">
        <v>1.8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16</v>
      </c>
      <c r="C12" s="16" t="n">
        <v>2.88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13</v>
      </c>
      <c r="C13" s="16" t="n">
        <v>1.43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22" t="inlineStr">
        <is>
          <t>TOTALE ClusterMinerA</t>
        </is>
      </c>
      <c r="B14" s="23">
        <f>SUM(B4:B13)</f>
        <v/>
      </c>
      <c r="C14" s="24">
        <f>SUM(C4:C13)</f>
        <v/>
      </c>
      <c r="D14" s="23" t="n">
        <v>20</v>
      </c>
      <c r="E14" s="23" t="n">
        <v>20</v>
      </c>
      <c r="F14" s="24" t="n">
        <v>753</v>
      </c>
      <c r="G14" s="25" t="n">
        <v>224.8956</v>
      </c>
      <c r="H14" s="25" t="n">
        <v>31.3954</v>
      </c>
      <c r="I14" s="25" t="n">
        <v>31.3954</v>
      </c>
      <c r="J14" s="26" t="n">
        <v>0</v>
      </c>
      <c r="K14" s="25" t="n">
        <v>100</v>
      </c>
      <c r="L14" s="25" t="n">
        <v>505.0075</v>
      </c>
      <c r="M14" s="23" t="n">
        <v>73682</v>
      </c>
      <c r="N14" s="26" t="n">
        <v>0.260771</v>
      </c>
      <c r="O14" s="24" t="n">
        <v>753</v>
      </c>
      <c r="P14" s="23" t="n">
        <v>75300</v>
      </c>
      <c r="Q14" s="23" t="inlineStr">
        <is>
          <t>off</t>
        </is>
      </c>
      <c r="R14" s="23" t="inlineStr">
        <is>
          <t>SELECTED</t>
        </is>
      </c>
    </row>
    <row r="16">
      <c r="A16" s="15" t="inlineStr">
        <is>
          <t>ClusterMinerB   —   Score ESG 19   —   ISO 14001 + ISO 50001   —   blocchi proposti 1</t>
        </is>
      </c>
    </row>
    <row r="17">
      <c r="A17" s="6" t="inlineStr">
        <is>
          <t xml:space="preserve">    Azienda 1</t>
        </is>
      </c>
      <c r="B17" s="5" t="n">
        <v>13</v>
      </c>
      <c r="C17" s="16" t="n">
        <v>2.08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14</v>
      </c>
      <c r="C18" s="16" t="n">
        <v>1.4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11</v>
      </c>
      <c r="C19" s="16" t="n">
        <v>1.1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17</v>
      </c>
      <c r="C20" s="16" t="n">
        <v>1.87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10</v>
      </c>
      <c r="C21" s="16" t="n">
        <v>1.3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18</v>
      </c>
      <c r="C22" s="16" t="n">
        <v>2.34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11</v>
      </c>
      <c r="C23" s="16" t="n">
        <v>1.98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14</v>
      </c>
      <c r="C24" s="16" t="n">
        <v>2.66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12</v>
      </c>
      <c r="C25" s="16" t="n">
        <v>1.2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10</v>
      </c>
      <c r="C26" s="16" t="n">
        <v>1.8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17</v>
      </c>
      <c r="F27" s="18" t="n">
        <v>659.87</v>
      </c>
      <c r="G27" s="19" t="n">
        <v>197.0808</v>
      </c>
      <c r="H27" s="19" t="n">
        <v>27.5125</v>
      </c>
      <c r="I27" s="19" t="n">
        <v>27.0575</v>
      </c>
      <c r="J27" s="20" t="n">
        <v>3.6953</v>
      </c>
      <c r="K27" s="19" t="n">
        <v>87.98390000000001</v>
      </c>
      <c r="L27" s="19" t="n">
        <v>508.3417</v>
      </c>
      <c r="M27" s="17" t="n">
        <v>60984</v>
      </c>
      <c r="N27" s="20" t="n">
        <v>0.215831</v>
      </c>
      <c r="O27" s="18" t="n">
        <v>624.221838</v>
      </c>
      <c r="P27" s="17" t="n">
        <v>62422</v>
      </c>
      <c r="Q27" s="17" t="inlineStr">
        <is>
          <t>off</t>
        </is>
      </c>
      <c r="R27" s="17" t="inlineStr"/>
    </row>
    <row r="29">
      <c r="A29" s="15" t="inlineStr">
        <is>
          <t>ClusterMinerC   —   Score ESG 13   —   ISO 9001   —   blocchi proposti 1</t>
        </is>
      </c>
    </row>
    <row r="30">
      <c r="A30" s="6" t="inlineStr">
        <is>
          <t xml:space="preserve">    Azienda 1</t>
        </is>
      </c>
      <c r="B30" s="5" t="n">
        <v>10</v>
      </c>
      <c r="C30" s="16" t="n">
        <v>2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12</v>
      </c>
      <c r="C31" s="16" t="n">
        <v>2.16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9</v>
      </c>
      <c r="C32" s="16" t="n">
        <v>1.44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14</v>
      </c>
      <c r="C33" s="16" t="n">
        <v>1.82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18</v>
      </c>
      <c r="C34" s="16" t="n">
        <v>3.06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14</v>
      </c>
      <c r="C35" s="16" t="n">
        <v>2.66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14</v>
      </c>
      <c r="C36" s="16" t="n">
        <v>1.96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9</v>
      </c>
      <c r="C37" s="16" t="n">
        <v>0.9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13</v>
      </c>
      <c r="C38" s="16" t="n">
        <v>1.56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12</v>
      </c>
      <c r="C39" s="16" t="n">
        <v>1.92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17</v>
      </c>
      <c r="F40" s="18" t="n">
        <v>474.24</v>
      </c>
      <c r="G40" s="19" t="n">
        <v>141.6394</v>
      </c>
      <c r="H40" s="19" t="n">
        <v>19.7729</v>
      </c>
      <c r="I40" s="19" t="n">
        <v>19.2401</v>
      </c>
      <c r="J40" s="20" t="n">
        <v>7.6732</v>
      </c>
      <c r="K40" s="19" t="n">
        <v>71.4892</v>
      </c>
      <c r="L40" s="19" t="n">
        <v>369.9563</v>
      </c>
      <c r="M40" s="17" t="n">
        <v>40705</v>
      </c>
      <c r="N40" s="20" t="n">
        <v>0.144061</v>
      </c>
      <c r="O40" s="18" t="n">
        <v>410.186293</v>
      </c>
      <c r="P40" s="17" t="n">
        <v>41019</v>
      </c>
      <c r="Q40" s="17" t="inlineStr">
        <is>
          <t>within-tol</t>
        </is>
      </c>
      <c r="R40" s="17" t="inlineStr"/>
    </row>
    <row r="42">
      <c r="A42" s="15" t="inlineStr">
        <is>
          <t>ClusterMinerD   —   Score ESG 15   —   ISO 14001   —   blocchi proposti 1</t>
        </is>
      </c>
    </row>
    <row r="43">
      <c r="A43" s="6" t="inlineStr">
        <is>
          <t xml:space="preserve">    Azienda 1</t>
        </is>
      </c>
      <c r="B43" s="5" t="n">
        <v>16</v>
      </c>
      <c r="C43" s="16" t="n">
        <v>2.24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15</v>
      </c>
      <c r="C44" s="16" t="n">
        <v>1.8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13</v>
      </c>
      <c r="C45" s="16" t="n">
        <v>1.69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12</v>
      </c>
      <c r="C46" s="16" t="n">
        <v>1.8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13</v>
      </c>
      <c r="C47" s="16" t="n">
        <v>1.43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15</v>
      </c>
      <c r="C48" s="16" t="n">
        <v>1.65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16</v>
      </c>
      <c r="C49" s="16" t="n">
        <v>2.56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11</v>
      </c>
      <c r="C50" s="16" t="n">
        <v>1.21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19</v>
      </c>
      <c r="C51" s="16" t="n">
        <v>2.85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21</v>
      </c>
      <c r="C52" s="16" t="n">
        <v>3.15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17</v>
      </c>
      <c r="F53" s="18" t="n">
        <v>560.7</v>
      </c>
      <c r="G53" s="19" t="n">
        <v>167.4621</v>
      </c>
      <c r="H53" s="19" t="n">
        <v>23.3777</v>
      </c>
      <c r="I53" s="19" t="n">
        <v>22.6812</v>
      </c>
      <c r="J53" s="20" t="n">
        <v>15.6749</v>
      </c>
      <c r="K53" s="19" t="n">
        <v>59.1332</v>
      </c>
      <c r="L53" s="19" t="n">
        <v>391.281</v>
      </c>
      <c r="M53" s="17" t="n">
        <v>44439</v>
      </c>
      <c r="N53" s="20" t="n">
        <v>0.157276</v>
      </c>
      <c r="O53" s="18" t="n">
        <v>448.011393</v>
      </c>
      <c r="P53" s="17" t="n">
        <v>44801</v>
      </c>
      <c r="Q53" s="17" t="inlineStr">
        <is>
          <t>within-tol</t>
        </is>
      </c>
      <c r="R53" s="17" t="inlineStr"/>
    </row>
    <row r="55">
      <c r="A55" s="15" t="inlineStr">
        <is>
          <t>ClusterMinerE   —   Score ESG 19   —   non certificato   —   blocchi proposti 0</t>
        </is>
      </c>
    </row>
    <row r="56">
      <c r="A56" s="6" t="inlineStr">
        <is>
          <t xml:space="preserve">    Azienda 1</t>
        </is>
      </c>
      <c r="B56" s="5" t="n">
        <v>17</v>
      </c>
      <c r="C56" s="16" t="n">
        <v>2.38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22</v>
      </c>
      <c r="C57" s="16" t="n">
        <v>2.2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11</v>
      </c>
      <c r="C58" s="16" t="n">
        <v>1.87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16</v>
      </c>
      <c r="C59" s="16" t="n">
        <v>2.88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15</v>
      </c>
      <c r="C60" s="16" t="n">
        <v>1.65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12</v>
      </c>
      <c r="C61" s="16" t="n">
        <v>1.92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13</v>
      </c>
      <c r="C62" s="16" t="n">
        <v>1.43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18</v>
      </c>
      <c r="C63" s="16" t="n">
        <v>3.24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13</v>
      </c>
      <c r="C64" s="16" t="n">
        <v>1.82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20</v>
      </c>
      <c r="C65" s="16" t="n">
        <v>4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24</v>
      </c>
      <c r="F66" s="18" t="n">
        <v>900.41</v>
      </c>
      <c r="G66" s="19" t="n">
        <v>268.922</v>
      </c>
      <c r="H66" s="19" t="n">
        <v>37.5415</v>
      </c>
      <c r="I66" s="19" t="n">
        <v>31.6538</v>
      </c>
      <c r="J66" s="20" t="n">
        <v>48.6597</v>
      </c>
      <c r="K66" s="19" t="n">
        <v>39.4128</v>
      </c>
      <c r="L66" s="19" t="n">
        <v>542.013</v>
      </c>
      <c r="M66" s="17" t="n">
        <v>62744</v>
      </c>
      <c r="N66" s="20" t="n">
        <v>0.22206</v>
      </c>
      <c r="O66" s="18" t="n">
        <v>630.262873</v>
      </c>
      <c r="P66" s="17" t="n">
        <v>63026</v>
      </c>
      <c r="Q66" s="17" t="inlineStr">
        <is>
          <t>within-tol</t>
        </is>
      </c>
      <c r="R66" s="17" t="inlineStr"/>
    </row>
    <row r="68">
      <c r="A68" s="1" t="inlineStr">
        <is>
          <t>TOTALI EPOCH 26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139.6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20</v>
      </c>
      <c r="E74" s="12" t="n">
        <v>31.3954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17</v>
      </c>
      <c r="E75" s="12" t="n">
        <v>27.5125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17</v>
      </c>
      <c r="E76" s="12" t="n">
        <v>19.7729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17</v>
      </c>
      <c r="E77" s="12" t="n">
        <v>23.3777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24</v>
      </c>
      <c r="E78" s="12" t="n">
        <v>37.5415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27  —  modalita wpoa  —  proposer ClusterMinerD (wpoa-weighted)  —  Theta (Tot Tx azienda) 483  —  monte premi alpha×Theta = 96.60 €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1</t>
        </is>
      </c>
    </row>
    <row r="4">
      <c r="A4" s="6" t="inlineStr">
        <is>
          <t xml:space="preserve">    Azienda 1</t>
        </is>
      </c>
      <c r="B4" s="5" t="n">
        <v>9</v>
      </c>
      <c r="C4" s="16" t="n">
        <v>0.99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13</v>
      </c>
      <c r="C5" s="16" t="n">
        <v>1.3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10</v>
      </c>
      <c r="C6" s="16" t="n">
        <v>1.4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10</v>
      </c>
      <c r="C7" s="16" t="n">
        <v>1.3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11</v>
      </c>
      <c r="C8" s="16" t="n">
        <v>1.43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10</v>
      </c>
      <c r="C9" s="16" t="n">
        <v>1.2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10</v>
      </c>
      <c r="C10" s="16" t="n">
        <v>1.1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10</v>
      </c>
      <c r="C11" s="16" t="n">
        <v>2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10</v>
      </c>
      <c r="C12" s="16" t="n">
        <v>1.8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8</v>
      </c>
      <c r="C13" s="16" t="n">
        <v>0.88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14</v>
      </c>
      <c r="F14" s="18" t="n">
        <v>548</v>
      </c>
      <c r="G14" s="19" t="n">
        <v>232.1444</v>
      </c>
      <c r="H14" s="19" t="n">
        <v>22.4251</v>
      </c>
      <c r="I14" s="19" t="n">
        <v>22.4251</v>
      </c>
      <c r="J14" s="20" t="n">
        <v>0</v>
      </c>
      <c r="K14" s="19" t="n">
        <v>100</v>
      </c>
      <c r="L14" s="19" t="n">
        <v>527.4326</v>
      </c>
      <c r="M14" s="17" t="n">
        <v>53553</v>
      </c>
      <c r="N14" s="20" t="n">
        <v>0.262914</v>
      </c>
      <c r="O14" s="18" t="n">
        <v>548</v>
      </c>
      <c r="P14" s="17" t="n">
        <v>54800</v>
      </c>
      <c r="Q14" s="17" t="inlineStr">
        <is>
          <t>off</t>
        </is>
      </c>
      <c r="R14" s="17" t="inlineStr"/>
    </row>
    <row r="16">
      <c r="A16" s="15" t="inlineStr">
        <is>
          <t>ClusterMinerB   —   Score ESG 19   —   ISO 14001 + ISO 50001   —   blocchi proposti 0</t>
        </is>
      </c>
    </row>
    <row r="17">
      <c r="A17" s="6" t="inlineStr">
        <is>
          <t xml:space="preserve">    Azienda 1</t>
        </is>
      </c>
      <c r="B17" s="5" t="n">
        <v>6</v>
      </c>
      <c r="C17" s="16" t="n">
        <v>0.96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11</v>
      </c>
      <c r="C18" s="16" t="n">
        <v>1.1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13</v>
      </c>
      <c r="C19" s="16" t="n">
        <v>1.3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8</v>
      </c>
      <c r="C20" s="16" t="n">
        <v>0.88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11</v>
      </c>
      <c r="C21" s="16" t="n">
        <v>1.43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12</v>
      </c>
      <c r="C22" s="16" t="n">
        <v>1.56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11</v>
      </c>
      <c r="C23" s="16" t="n">
        <v>1.98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7</v>
      </c>
      <c r="C24" s="16" t="n">
        <v>1.33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7</v>
      </c>
      <c r="C25" s="16" t="n">
        <v>0.7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9</v>
      </c>
      <c r="C26" s="16" t="n">
        <v>1.62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7" t="inlineStr">
        <is>
          <t>TOTALE ClusterMinerB</t>
        </is>
      </c>
      <c r="B27" s="17">
        <f>SUM(B17:B26)</f>
        <v/>
      </c>
      <c r="C27" s="18">
        <f>SUM(C17:C26)</f>
        <v/>
      </c>
      <c r="D27" s="17" t="n">
        <v>19</v>
      </c>
      <c r="E27" s="17" t="n">
        <v>18</v>
      </c>
      <c r="F27" s="18" t="n">
        <v>586.34</v>
      </c>
      <c r="G27" s="19" t="n">
        <v>248.386</v>
      </c>
      <c r="H27" s="19" t="n">
        <v>23.9941</v>
      </c>
      <c r="I27" s="19" t="n">
        <v>23.7386</v>
      </c>
      <c r="J27" s="20" t="n">
        <v>3.9508</v>
      </c>
      <c r="K27" s="19" t="n">
        <v>85.7317</v>
      </c>
      <c r="L27" s="19" t="n">
        <v>532.3357999999999</v>
      </c>
      <c r="M27" s="17" t="n">
        <v>55607</v>
      </c>
      <c r="N27" s="20" t="n">
        <v>0.272998</v>
      </c>
      <c r="O27" s="18" t="n">
        <v>551.1122779999999</v>
      </c>
      <c r="P27" s="17" t="n">
        <v>55111</v>
      </c>
      <c r="Q27" s="17" t="inlineStr">
        <is>
          <t>within-tol</t>
        </is>
      </c>
      <c r="R27" s="17" t="inlineStr"/>
    </row>
    <row r="29">
      <c r="A29" s="15" t="inlineStr">
        <is>
          <t>ClusterMinerC   —   Score ESG 13   —   ISO 9001   —   blocchi proposti 0</t>
        </is>
      </c>
    </row>
    <row r="30">
      <c r="A30" s="6" t="inlineStr">
        <is>
          <t xml:space="preserve">    Azienda 1</t>
        </is>
      </c>
      <c r="B30" s="5" t="n">
        <v>8</v>
      </c>
      <c r="C30" s="16" t="n">
        <v>1.6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11</v>
      </c>
      <c r="C31" s="16" t="n">
        <v>1.98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10</v>
      </c>
      <c r="C32" s="16" t="n">
        <v>1.6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10</v>
      </c>
      <c r="C33" s="16" t="n">
        <v>1.3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13</v>
      </c>
      <c r="C34" s="16" t="n">
        <v>2.21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9</v>
      </c>
      <c r="C35" s="16" t="n">
        <v>1.71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7</v>
      </c>
      <c r="C36" s="16" t="n">
        <v>0.98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10</v>
      </c>
      <c r="C37" s="16" t="n">
        <v>1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8</v>
      </c>
      <c r="C38" s="16" t="n">
        <v>0.96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8</v>
      </c>
      <c r="C39" s="16" t="n">
        <v>1.28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15</v>
      </c>
      <c r="F40" s="18" t="n">
        <v>385.06</v>
      </c>
      <c r="G40" s="19" t="n">
        <v>163.1195</v>
      </c>
      <c r="H40" s="19" t="n">
        <v>15.7573</v>
      </c>
      <c r="I40" s="19" t="n">
        <v>17.5009</v>
      </c>
      <c r="J40" s="20" t="n">
        <v>5.9296</v>
      </c>
      <c r="K40" s="19" t="n">
        <v>74.69280000000001</v>
      </c>
      <c r="L40" s="19" t="n">
        <v>385.7136</v>
      </c>
      <c r="M40" s="17" t="n">
        <v>32605</v>
      </c>
      <c r="N40" s="20" t="n">
        <v>0.160072</v>
      </c>
      <c r="O40" s="18" t="n">
        <v>330.168136</v>
      </c>
      <c r="P40" s="17" t="n">
        <v>33017</v>
      </c>
      <c r="Q40" s="17" t="inlineStr">
        <is>
          <t>off</t>
        </is>
      </c>
      <c r="R40" s="17" t="inlineStr"/>
    </row>
    <row r="42">
      <c r="A42" s="21" t="inlineStr">
        <is>
          <t>ClusterMinerD   —   Score ESG 15   —   ISO 14001   —   blocchi proposti 3</t>
        </is>
      </c>
    </row>
    <row r="43">
      <c r="A43" s="6" t="inlineStr">
        <is>
          <t xml:space="preserve">    Azienda 1</t>
        </is>
      </c>
      <c r="B43" s="5" t="n">
        <v>12</v>
      </c>
      <c r="C43" s="16" t="n">
        <v>1.68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10</v>
      </c>
      <c r="C44" s="16" t="n">
        <v>1.2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11</v>
      </c>
      <c r="C45" s="16" t="n">
        <v>1.43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8</v>
      </c>
      <c r="C46" s="16" t="n">
        <v>1.2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11</v>
      </c>
      <c r="C47" s="16" t="n">
        <v>1.21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9</v>
      </c>
      <c r="C48" s="16" t="n">
        <v>0.99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11</v>
      </c>
      <c r="C49" s="16" t="n">
        <v>1.76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6</v>
      </c>
      <c r="C50" s="16" t="n">
        <v>0.66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14</v>
      </c>
      <c r="C51" s="16" t="n">
        <v>2.1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10</v>
      </c>
      <c r="C52" s="16" t="n">
        <v>1.5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22" t="inlineStr">
        <is>
          <t>TOTALE ClusterMinerD</t>
        </is>
      </c>
      <c r="B53" s="23">
        <f>SUM(B43:B52)</f>
        <v/>
      </c>
      <c r="C53" s="24">
        <f>SUM(C43:C52)</f>
        <v/>
      </c>
      <c r="D53" s="23" t="n">
        <v>15</v>
      </c>
      <c r="E53" s="23" t="n">
        <v>11</v>
      </c>
      <c r="F53" s="24" t="n">
        <v>370.95</v>
      </c>
      <c r="G53" s="25" t="n">
        <v>157.1423</v>
      </c>
      <c r="H53" s="25" t="n">
        <v>15.1799</v>
      </c>
      <c r="I53" s="25" t="n">
        <v>17.7852</v>
      </c>
      <c r="J53" s="26" t="n">
        <v>13.0696</v>
      </c>
      <c r="K53" s="25" t="n">
        <v>57.6416</v>
      </c>
      <c r="L53" s="25" t="n">
        <v>406.4609</v>
      </c>
      <c r="M53" s="23" t="n">
        <v>29279</v>
      </c>
      <c r="N53" s="26" t="n">
        <v>0.143743</v>
      </c>
      <c r="O53" s="24" t="n">
        <v>295.152354</v>
      </c>
      <c r="P53" s="23" t="n">
        <v>29515</v>
      </c>
      <c r="Q53" s="23" t="inlineStr">
        <is>
          <t>within-tol</t>
        </is>
      </c>
      <c r="R53" s="23" t="inlineStr">
        <is>
          <t>SELECTED</t>
        </is>
      </c>
    </row>
    <row r="55">
      <c r="A55" s="15" t="inlineStr">
        <is>
          <t>ClusterMinerE   —   Score ESG 19   —   non certificato   —   blocchi proposti 2</t>
        </is>
      </c>
    </row>
    <row r="56">
      <c r="A56" s="6" t="inlineStr">
        <is>
          <t xml:space="preserve">    Azienda 1</t>
        </is>
      </c>
      <c r="B56" s="5" t="n">
        <v>8</v>
      </c>
      <c r="C56" s="16" t="n">
        <v>1.12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8</v>
      </c>
      <c r="C57" s="16" t="n">
        <v>0.8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11</v>
      </c>
      <c r="C58" s="16" t="n">
        <v>1.87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10</v>
      </c>
      <c r="C59" s="16" t="n">
        <v>1.8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6</v>
      </c>
      <c r="C60" s="16" t="n">
        <v>0.66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7</v>
      </c>
      <c r="C61" s="16" t="n">
        <v>1.12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12</v>
      </c>
      <c r="C62" s="16" t="n">
        <v>1.32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7</v>
      </c>
      <c r="C63" s="16" t="n">
        <v>1.26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10</v>
      </c>
      <c r="C64" s="16" t="n">
        <v>1.4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12</v>
      </c>
      <c r="C65" s="16" t="n">
        <v>2.4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11</v>
      </c>
      <c r="F66" s="18" t="n">
        <v>470.25</v>
      </c>
      <c r="G66" s="19" t="n">
        <v>199.2078</v>
      </c>
      <c r="H66" s="19" t="n">
        <v>19.2435</v>
      </c>
      <c r="I66" s="19" t="n">
        <v>26.1838</v>
      </c>
      <c r="J66" s="20" t="n">
        <v>41.7194</v>
      </c>
      <c r="K66" s="19" t="n">
        <v>38.5605</v>
      </c>
      <c r="L66" s="19" t="n">
        <v>561.2565</v>
      </c>
      <c r="M66" s="17" t="n">
        <v>32646</v>
      </c>
      <c r="N66" s="20" t="n">
        <v>0.160273</v>
      </c>
      <c r="O66" s="18" t="n">
        <v>327.794349</v>
      </c>
      <c r="P66" s="17" t="n">
        <v>32779</v>
      </c>
      <c r="Q66" s="17" t="inlineStr">
        <is>
          <t>within-tol</t>
        </is>
      </c>
      <c r="R66" s="17" t="inlineStr"/>
    </row>
    <row r="68">
      <c r="A68" s="1" t="inlineStr">
        <is>
          <t>TOTALI EPOCH 27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96.59999999999999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14</v>
      </c>
      <c r="E74" s="12" t="n">
        <v>22.4251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18</v>
      </c>
      <c r="E75" s="12" t="n">
        <v>23.9941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15</v>
      </c>
      <c r="E76" s="12" t="n">
        <v>15.7573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11</v>
      </c>
      <c r="E77" s="12" t="n">
        <v>15.1799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11</v>
      </c>
      <c r="E78" s="12" t="n">
        <v>19.2435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5" customWidth="1" min="3" max="3"/>
    <col width="11" customWidth="1" min="4" max="4"/>
    <col width="11" customWidth="1" min="5" max="5"/>
    <col width="15" customWidth="1" min="6" max="6"/>
    <col width="14" customWidth="1" min="7" max="7"/>
    <col width="15" customWidth="1" min="8" max="8"/>
    <col width="14" customWidth="1" min="9" max="9"/>
    <col width="12" customWidth="1" min="10" max="10"/>
    <col width="10" customWidth="1" min="11" max="11"/>
    <col width="13" customWidth="1" min="12" max="12"/>
    <col width="16" customWidth="1" min="13" max="13"/>
    <col width="14" customWidth="1" min="14" max="14"/>
    <col width="15" customWidth="1" min="15" max="15"/>
    <col width="16" customWidth="1" min="16" max="16"/>
    <col width="12" customWidth="1" min="17" max="17"/>
    <col width="11" customWidth="1" min="18" max="18"/>
  </cols>
  <sheetData>
    <row r="1">
      <c r="A1" s="1" t="inlineStr">
        <is>
          <t>EPOCH 28  —  modalita wpoa  —  proposer ClusterMinerB (wpoa-weighted)  —  Theta (Tot Tx azienda) 824  —  monte premi alpha×Theta = 164.80 €</t>
        </is>
      </c>
    </row>
    <row r="2">
      <c r="A2" s="3" t="inlineStr">
        <is>
          <t>Nome utente</t>
        </is>
      </c>
      <c r="B2" s="3" t="inlineStr">
        <is>
          <t>Tx Utente</t>
        </is>
      </c>
      <c r="C2" s="3" t="inlineStr">
        <is>
          <t>Impatto utente</t>
        </is>
      </c>
      <c r="D2" s="3" t="inlineStr">
        <is>
          <t>Score ESG</t>
        </is>
      </c>
      <c r="E2" s="13" t="inlineStr">
        <is>
          <t>Tx Miner</t>
        </is>
      </c>
      <c r="F2" s="13" t="inlineStr">
        <is>
          <t>Impatto Cluster</t>
        </is>
      </c>
      <c r="G2" s="13" t="inlineStr">
        <is>
          <t>Delay in msec</t>
        </is>
      </c>
      <c r="H2" s="13" t="inlineStr">
        <is>
          <t>Guadagno Ex (€)</t>
        </is>
      </c>
      <c r="I2" s="13" t="inlineStr">
        <is>
          <t>€ Resi in Ex</t>
        </is>
      </c>
      <c r="J2" s="13" t="inlineStr">
        <is>
          <t>Giacenza</t>
        </is>
      </c>
      <c r="K2" s="13" t="inlineStr">
        <is>
          <t>% Reso</t>
        </is>
      </c>
      <c r="L2" s="13" t="inlineStr">
        <is>
          <t>Total GAIN</t>
        </is>
      </c>
      <c r="M2" s="3" t="inlineStr">
        <is>
          <t>Peso engine w_k</t>
        </is>
      </c>
      <c r="N2" s="3" t="inlineStr">
        <is>
          <t>Prob. selezione</t>
        </is>
      </c>
      <c r="O2" s="3" t="inlineStr">
        <is>
          <t>w_k atteso</t>
        </is>
      </c>
      <c r="P2" s="3" t="inlineStr">
        <is>
          <t>w_k atteso (int)</t>
        </is>
      </c>
      <c r="Q2" s="3" t="inlineStr">
        <is>
          <t>Match</t>
        </is>
      </c>
      <c r="R2" s="3" t="inlineStr">
        <is>
          <t>Proposer</t>
        </is>
      </c>
    </row>
    <row r="3">
      <c r="A3" s="15" t="inlineStr">
        <is>
          <t>ClusterMinerA   —   Score ESG 20   —   ISO 14001   —   blocchi proposti 0</t>
        </is>
      </c>
    </row>
    <row r="4">
      <c r="A4" s="6" t="inlineStr">
        <is>
          <t xml:space="preserve">    Azienda 1</t>
        </is>
      </c>
      <c r="B4" s="5" t="n">
        <v>18</v>
      </c>
      <c r="C4" s="16" t="n">
        <v>1.98</v>
      </c>
      <c r="D4" s="5" t="n">
        <v>11</v>
      </c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</row>
    <row r="5">
      <c r="A5" s="6" t="inlineStr">
        <is>
          <t xml:space="preserve">    Azienda 2</t>
        </is>
      </c>
      <c r="B5" s="5" t="n">
        <v>17</v>
      </c>
      <c r="C5" s="16" t="n">
        <v>1.7</v>
      </c>
      <c r="D5" s="5" t="n">
        <v>10</v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</row>
    <row r="6">
      <c r="A6" s="6" t="inlineStr">
        <is>
          <t xml:space="preserve">    Azienda 3</t>
        </is>
      </c>
      <c r="B6" s="5" t="n">
        <v>15</v>
      </c>
      <c r="C6" s="16" t="n">
        <v>2.1</v>
      </c>
      <c r="D6" s="5" t="n">
        <v>14</v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</row>
    <row r="7">
      <c r="A7" s="6" t="inlineStr">
        <is>
          <t xml:space="preserve">    Azienda 4</t>
        </is>
      </c>
      <c r="B7" s="5" t="n">
        <v>21</v>
      </c>
      <c r="C7" s="16" t="n">
        <v>2.73</v>
      </c>
      <c r="D7" s="5" t="n">
        <v>13</v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6" t="inlineStr">
        <is>
          <t xml:space="preserve">    Azienda 5</t>
        </is>
      </c>
      <c r="B8" s="5" t="n">
        <v>19</v>
      </c>
      <c r="C8" s="16" t="n">
        <v>2.47</v>
      </c>
      <c r="D8" s="5" t="n">
        <v>13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</row>
    <row r="9">
      <c r="A9" s="6" t="inlineStr">
        <is>
          <t xml:space="preserve">    Azienda 6</t>
        </is>
      </c>
      <c r="B9" s="5" t="n">
        <v>18</v>
      </c>
      <c r="C9" s="16" t="n">
        <v>2.16</v>
      </c>
      <c r="D9" s="5" t="n">
        <v>12</v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</row>
    <row r="10">
      <c r="A10" s="6" t="inlineStr">
        <is>
          <t xml:space="preserve">    Azienda 7</t>
        </is>
      </c>
      <c r="B10" s="5" t="n">
        <v>18</v>
      </c>
      <c r="C10" s="16" t="n">
        <v>1.98</v>
      </c>
      <c r="D10" s="5" t="n">
        <v>11</v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</row>
    <row r="11">
      <c r="A11" s="6" t="inlineStr">
        <is>
          <t xml:space="preserve">    Azienda 8</t>
        </is>
      </c>
      <c r="B11" s="5" t="n">
        <v>20</v>
      </c>
      <c r="C11" s="16" t="n">
        <v>4</v>
      </c>
      <c r="D11" s="5" t="n">
        <v>20</v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</row>
    <row r="12">
      <c r="A12" s="6" t="inlineStr">
        <is>
          <t xml:space="preserve">    Azienda 9</t>
        </is>
      </c>
      <c r="B12" s="5" t="n">
        <v>15</v>
      </c>
      <c r="C12" s="16" t="n">
        <v>2.7</v>
      </c>
      <c r="D12" s="5" t="n">
        <v>18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</row>
    <row r="13">
      <c r="A13" s="6" t="inlineStr">
        <is>
          <t xml:space="preserve">    Azienda 10</t>
        </is>
      </c>
      <c r="B13" s="5" t="n">
        <v>16</v>
      </c>
      <c r="C13" s="16" t="n">
        <v>1.76</v>
      </c>
      <c r="D13" s="5" t="n">
        <v>11</v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</row>
    <row r="14">
      <c r="A14" s="7" t="inlineStr">
        <is>
          <t>TOTALE ClusterMinerA</t>
        </is>
      </c>
      <c r="B14" s="17">
        <f>SUM(B4:B13)</f>
        <v/>
      </c>
      <c r="C14" s="18">
        <f>SUM(C4:C13)</f>
        <v/>
      </c>
      <c r="D14" s="17" t="n">
        <v>20</v>
      </c>
      <c r="E14" s="17" t="n">
        <v>19</v>
      </c>
      <c r="F14" s="18" t="n">
        <v>851.6</v>
      </c>
      <c r="G14" s="19" t="n">
        <v>223.3178</v>
      </c>
      <c r="H14" s="19" t="n">
        <v>36.8028</v>
      </c>
      <c r="I14" s="19" t="n">
        <v>36.8028</v>
      </c>
      <c r="J14" s="20" t="n">
        <v>0</v>
      </c>
      <c r="K14" s="19" t="n">
        <v>100</v>
      </c>
      <c r="L14" s="19" t="n">
        <v>564.2354</v>
      </c>
      <c r="M14" s="17" t="n">
        <v>83010</v>
      </c>
      <c r="N14" s="20" t="n">
        <v>0.256555</v>
      </c>
      <c r="O14" s="18" t="n">
        <v>851.6</v>
      </c>
      <c r="P14" s="17" t="n">
        <v>85160</v>
      </c>
      <c r="Q14" s="17" t="inlineStr">
        <is>
          <t>off</t>
        </is>
      </c>
      <c r="R14" s="17" t="inlineStr"/>
    </row>
    <row r="16">
      <c r="A16" s="21" t="inlineStr">
        <is>
          <t>ClusterMinerB   —   Score ESG 19   —   ISO 14001 + ISO 50001   —   blocchi proposti 3</t>
        </is>
      </c>
    </row>
    <row r="17">
      <c r="A17" s="6" t="inlineStr">
        <is>
          <t xml:space="preserve">    Azienda 1</t>
        </is>
      </c>
      <c r="B17" s="5" t="n">
        <v>12</v>
      </c>
      <c r="C17" s="16" t="n">
        <v>1.92</v>
      </c>
      <c r="D17" s="5" t="n">
        <v>16</v>
      </c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>
      <c r="A18" s="6" t="inlineStr">
        <is>
          <t xml:space="preserve">    Azienda 2</t>
        </is>
      </c>
      <c r="B18" s="5" t="n">
        <v>22</v>
      </c>
      <c r="C18" s="16" t="n">
        <v>2.2</v>
      </c>
      <c r="D18" s="5" t="n">
        <v>10</v>
      </c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>
      <c r="A19" s="6" t="inlineStr">
        <is>
          <t xml:space="preserve">    Azienda 3</t>
        </is>
      </c>
      <c r="B19" s="5" t="n">
        <v>17</v>
      </c>
      <c r="C19" s="16" t="n">
        <v>1.7</v>
      </c>
      <c r="D19" s="5" t="n">
        <v>10</v>
      </c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>
      <c r="A20" s="6" t="inlineStr">
        <is>
          <t xml:space="preserve">    Azienda 4</t>
        </is>
      </c>
      <c r="B20" s="5" t="n">
        <v>15</v>
      </c>
      <c r="C20" s="16" t="n">
        <v>1.65</v>
      </c>
      <c r="D20" s="5" t="n">
        <v>11</v>
      </c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>
      <c r="A21" s="6" t="inlineStr">
        <is>
          <t xml:space="preserve">    Azienda 5</t>
        </is>
      </c>
      <c r="B21" s="5" t="n">
        <v>20</v>
      </c>
      <c r="C21" s="16" t="n">
        <v>2.6</v>
      </c>
      <c r="D21" s="5" t="n">
        <v>13</v>
      </c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>
      <c r="A22" s="6" t="inlineStr">
        <is>
          <t xml:space="preserve">    Azienda 6</t>
        </is>
      </c>
      <c r="B22" s="5" t="n">
        <v>21</v>
      </c>
      <c r="C22" s="16" t="n">
        <v>2.73</v>
      </c>
      <c r="D22" s="5" t="n">
        <v>13</v>
      </c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>
      <c r="A23" s="6" t="inlineStr">
        <is>
          <t xml:space="preserve">    Azienda 7</t>
        </is>
      </c>
      <c r="B23" s="5" t="n">
        <v>21</v>
      </c>
      <c r="C23" s="16" t="n">
        <v>3.78</v>
      </c>
      <c r="D23" s="5" t="n">
        <v>18</v>
      </c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>
      <c r="A24" s="6" t="inlineStr">
        <is>
          <t xml:space="preserve">    Azienda 8</t>
        </is>
      </c>
      <c r="B24" s="5" t="n">
        <v>12</v>
      </c>
      <c r="C24" s="16" t="n">
        <v>2.28</v>
      </c>
      <c r="D24" s="5" t="n">
        <v>19</v>
      </c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>
      <c r="A25" s="6" t="inlineStr">
        <is>
          <t xml:space="preserve">    Azienda 9</t>
        </is>
      </c>
      <c r="B25" s="5" t="n">
        <v>17</v>
      </c>
      <c r="C25" s="16" t="n">
        <v>1.7</v>
      </c>
      <c r="D25" s="5" t="n">
        <v>10</v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>
      <c r="A26" s="6" t="inlineStr">
        <is>
          <t xml:space="preserve">    Azienda 10</t>
        </is>
      </c>
      <c r="B26" s="5" t="n">
        <v>17</v>
      </c>
      <c r="C26" s="16" t="n">
        <v>3.06</v>
      </c>
      <c r="D26" s="5" t="n">
        <v>18</v>
      </c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>
      <c r="A27" s="22" t="inlineStr">
        <is>
          <t>TOTALE ClusterMinerB</t>
        </is>
      </c>
      <c r="B27" s="23">
        <f>SUM(B17:B26)</f>
        <v/>
      </c>
      <c r="C27" s="24">
        <f>SUM(C17:C26)</f>
        <v/>
      </c>
      <c r="D27" s="23" t="n">
        <v>19</v>
      </c>
      <c r="E27" s="23" t="n">
        <v>23</v>
      </c>
      <c r="F27" s="24" t="n">
        <v>885.78</v>
      </c>
      <c r="G27" s="25" t="n">
        <v>232.2809</v>
      </c>
      <c r="H27" s="25" t="n">
        <v>38.2799</v>
      </c>
      <c r="I27" s="25" t="n">
        <v>37.9372</v>
      </c>
      <c r="J27" s="26" t="n">
        <v>4.2935</v>
      </c>
      <c r="K27" s="25" t="n">
        <v>89.83320000000001</v>
      </c>
      <c r="L27" s="25" t="n">
        <v>570.6156999999999</v>
      </c>
      <c r="M27" s="23" t="n">
        <v>79699</v>
      </c>
      <c r="N27" s="26" t="n">
        <v>0.246322</v>
      </c>
      <c r="O27" s="24" t="n">
        <v>822.587233</v>
      </c>
      <c r="P27" s="23" t="n">
        <v>82259</v>
      </c>
      <c r="Q27" s="23" t="inlineStr">
        <is>
          <t>off</t>
        </is>
      </c>
      <c r="R27" s="23" t="inlineStr">
        <is>
          <t>SELECTED</t>
        </is>
      </c>
    </row>
    <row r="29">
      <c r="A29" s="15" t="inlineStr">
        <is>
          <t>ClusterMinerC   —   Score ESG 13   —   ISO 9001   —   blocchi proposti 1</t>
        </is>
      </c>
    </row>
    <row r="30">
      <c r="A30" s="6" t="inlineStr">
        <is>
          <t xml:space="preserve">    Azienda 1</t>
        </is>
      </c>
      <c r="B30" s="5" t="n">
        <v>13</v>
      </c>
      <c r="C30" s="16" t="n">
        <v>2.6</v>
      </c>
      <c r="D30" s="5" t="n">
        <v>20</v>
      </c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</row>
    <row r="31">
      <c r="A31" s="6" t="inlineStr">
        <is>
          <t xml:space="preserve">    Azienda 2</t>
        </is>
      </c>
      <c r="B31" s="5" t="n">
        <v>15</v>
      </c>
      <c r="C31" s="16" t="n">
        <v>2.7</v>
      </c>
      <c r="D31" s="5" t="n">
        <v>18</v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</row>
    <row r="32">
      <c r="A32" s="6" t="inlineStr">
        <is>
          <t xml:space="preserve">    Azienda 3</t>
        </is>
      </c>
      <c r="B32" s="5" t="n">
        <v>19</v>
      </c>
      <c r="C32" s="16" t="n">
        <v>3.04</v>
      </c>
      <c r="D32" s="5" t="n">
        <v>16</v>
      </c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</row>
    <row r="33">
      <c r="A33" s="6" t="inlineStr">
        <is>
          <t xml:space="preserve">    Azienda 4</t>
        </is>
      </c>
      <c r="B33" s="5" t="n">
        <v>19</v>
      </c>
      <c r="C33" s="16" t="n">
        <v>2.47</v>
      </c>
      <c r="D33" s="5" t="n">
        <v>13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</row>
    <row r="34">
      <c r="A34" s="6" t="inlineStr">
        <is>
          <t xml:space="preserve">    Azienda 5</t>
        </is>
      </c>
      <c r="B34" s="5" t="n">
        <v>22</v>
      </c>
      <c r="C34" s="16" t="n">
        <v>3.74</v>
      </c>
      <c r="D34" s="5" t="n">
        <v>17</v>
      </c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</row>
    <row r="35">
      <c r="A35" s="6" t="inlineStr">
        <is>
          <t xml:space="preserve">    Azienda 6</t>
        </is>
      </c>
      <c r="B35" s="5" t="n">
        <v>12</v>
      </c>
      <c r="C35" s="16" t="n">
        <v>2.28</v>
      </c>
      <c r="D35" s="5" t="n">
        <v>19</v>
      </c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</row>
    <row r="36">
      <c r="A36" s="6" t="inlineStr">
        <is>
          <t xml:space="preserve">    Azienda 7</t>
        </is>
      </c>
      <c r="B36" s="5" t="n">
        <v>15</v>
      </c>
      <c r="C36" s="16" t="n">
        <v>2.1</v>
      </c>
      <c r="D36" s="5" t="n">
        <v>14</v>
      </c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</row>
    <row r="37">
      <c r="A37" s="6" t="inlineStr">
        <is>
          <t xml:space="preserve">    Azienda 8</t>
        </is>
      </c>
      <c r="B37" s="5" t="n">
        <v>19</v>
      </c>
      <c r="C37" s="16" t="n">
        <v>1.9</v>
      </c>
      <c r="D37" s="5" t="n">
        <v>10</v>
      </c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</row>
    <row r="38">
      <c r="A38" s="6" t="inlineStr">
        <is>
          <t xml:space="preserve">    Azienda 9</t>
        </is>
      </c>
      <c r="B38" s="5" t="n">
        <v>15</v>
      </c>
      <c r="C38" s="16" t="n">
        <v>1.8</v>
      </c>
      <c r="D38" s="5" t="n">
        <v>12</v>
      </c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</row>
    <row r="39">
      <c r="A39" s="6" t="inlineStr">
        <is>
          <t xml:space="preserve">    Azienda 10</t>
        </is>
      </c>
      <c r="B39" s="5" t="n">
        <v>15</v>
      </c>
      <c r="C39" s="16" t="n">
        <v>2.4</v>
      </c>
      <c r="D39" s="5" t="n">
        <v>16</v>
      </c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</row>
    <row r="40">
      <c r="A40" s="7" t="inlineStr">
        <is>
          <t>TOTALE ClusterMinerC</t>
        </is>
      </c>
      <c r="B40" s="17">
        <f>SUM(B30:B39)</f>
        <v/>
      </c>
      <c r="C40" s="18">
        <f>SUM(C30:C39)</f>
        <v/>
      </c>
      <c r="D40" s="17" t="n">
        <v>13</v>
      </c>
      <c r="E40" s="17" t="n">
        <v>20</v>
      </c>
      <c r="F40" s="18" t="n">
        <v>585.39</v>
      </c>
      <c r="G40" s="19" t="n">
        <v>153.5087</v>
      </c>
      <c r="H40" s="19" t="n">
        <v>25.2982</v>
      </c>
      <c r="I40" s="19" t="n">
        <v>23.9007</v>
      </c>
      <c r="J40" s="20" t="n">
        <v>7.3271</v>
      </c>
      <c r="K40" s="19" t="n">
        <v>76.53660000000001</v>
      </c>
      <c r="L40" s="19" t="n">
        <v>411.0118</v>
      </c>
      <c r="M40" s="17" t="n">
        <v>50673</v>
      </c>
      <c r="N40" s="20" t="n">
        <v>0.156613</v>
      </c>
      <c r="O40" s="18" t="n">
        <v>511.317135</v>
      </c>
      <c r="P40" s="17" t="n">
        <v>51132</v>
      </c>
      <c r="Q40" s="17" t="inlineStr">
        <is>
          <t>within-tol</t>
        </is>
      </c>
      <c r="R40" s="17" t="inlineStr"/>
    </row>
    <row r="42">
      <c r="A42" s="15" t="inlineStr">
        <is>
          <t>ClusterMinerD   —   Score ESG 15   —   ISO 14001   —   blocchi proposti 1</t>
        </is>
      </c>
    </row>
    <row r="43">
      <c r="A43" s="6" t="inlineStr">
        <is>
          <t xml:space="preserve">    Azienda 1</t>
        </is>
      </c>
      <c r="B43" s="5" t="n">
        <v>18</v>
      </c>
      <c r="C43" s="16" t="n">
        <v>2.52</v>
      </c>
      <c r="D43" s="5" t="n">
        <v>14</v>
      </c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</row>
    <row r="44">
      <c r="A44" s="6" t="inlineStr">
        <is>
          <t xml:space="preserve">    Azienda 2</t>
        </is>
      </c>
      <c r="B44" s="5" t="n">
        <v>14</v>
      </c>
      <c r="C44" s="16" t="n">
        <v>1.68</v>
      </c>
      <c r="D44" s="5" t="n">
        <v>12</v>
      </c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</row>
    <row r="45">
      <c r="A45" s="6" t="inlineStr">
        <is>
          <t xml:space="preserve">    Azienda 3</t>
        </is>
      </c>
      <c r="B45" s="5" t="n">
        <v>14</v>
      </c>
      <c r="C45" s="16" t="n">
        <v>1.82</v>
      </c>
      <c r="D45" s="5" t="n">
        <v>13</v>
      </c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</row>
    <row r="46">
      <c r="A46" s="6" t="inlineStr">
        <is>
          <t xml:space="preserve">    Azienda 4</t>
        </is>
      </c>
      <c r="B46" s="5" t="n">
        <v>17</v>
      </c>
      <c r="C46" s="16" t="n">
        <v>2.55</v>
      </c>
      <c r="D46" s="5" t="n">
        <v>15</v>
      </c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</row>
    <row r="47">
      <c r="A47" s="6" t="inlineStr">
        <is>
          <t xml:space="preserve">    Azienda 5</t>
        </is>
      </c>
      <c r="B47" s="5" t="n">
        <v>19</v>
      </c>
      <c r="C47" s="16" t="n">
        <v>2.09</v>
      </c>
      <c r="D47" s="5" t="n">
        <v>11</v>
      </c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</row>
    <row r="48">
      <c r="A48" s="6" t="inlineStr">
        <is>
          <t xml:space="preserve">    Azienda 6</t>
        </is>
      </c>
      <c r="B48" s="5" t="n">
        <v>13</v>
      </c>
      <c r="C48" s="16" t="n">
        <v>1.43</v>
      </c>
      <c r="D48" s="5" t="n">
        <v>11</v>
      </c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</row>
    <row r="49">
      <c r="A49" s="6" t="inlineStr">
        <is>
          <t xml:space="preserve">    Azienda 7</t>
        </is>
      </c>
      <c r="B49" s="5" t="n">
        <v>15</v>
      </c>
      <c r="C49" s="16" t="n">
        <v>2.4</v>
      </c>
      <c r="D49" s="5" t="n">
        <v>16</v>
      </c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</row>
    <row r="50">
      <c r="A50" s="6" t="inlineStr">
        <is>
          <t xml:space="preserve">    Azienda 8</t>
        </is>
      </c>
      <c r="B50" s="5" t="n">
        <v>14</v>
      </c>
      <c r="C50" s="16" t="n">
        <v>1.54</v>
      </c>
      <c r="D50" s="5" t="n">
        <v>11</v>
      </c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</row>
    <row r="51">
      <c r="A51" s="6" t="inlineStr">
        <is>
          <t xml:space="preserve">    Azienda 9</t>
        </is>
      </c>
      <c r="B51" s="5" t="n">
        <v>18</v>
      </c>
      <c r="C51" s="16" t="n">
        <v>2.7</v>
      </c>
      <c r="D51" s="5" t="n">
        <v>15</v>
      </c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</row>
    <row r="52">
      <c r="A52" s="6" t="inlineStr">
        <is>
          <t xml:space="preserve">    Azienda 10</t>
        </is>
      </c>
      <c r="B52" s="5" t="n">
        <v>14</v>
      </c>
      <c r="C52" s="16" t="n">
        <v>2.1</v>
      </c>
      <c r="D52" s="5" t="n">
        <v>15</v>
      </c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</row>
    <row r="53">
      <c r="A53" s="7" t="inlineStr">
        <is>
          <t>TOTALE ClusterMinerD</t>
        </is>
      </c>
      <c r="B53" s="17">
        <f>SUM(B43:B52)</f>
        <v/>
      </c>
      <c r="C53" s="18">
        <f>SUM(C43:C52)</f>
        <v/>
      </c>
      <c r="D53" s="17" t="n">
        <v>15</v>
      </c>
      <c r="E53" s="17" t="n">
        <v>20</v>
      </c>
      <c r="F53" s="18" t="n">
        <v>612.45</v>
      </c>
      <c r="G53" s="19" t="n">
        <v>160.6047</v>
      </c>
      <c r="H53" s="19" t="n">
        <v>26.4677</v>
      </c>
      <c r="I53" s="19" t="n">
        <v>24.1221</v>
      </c>
      <c r="J53" s="20" t="n">
        <v>15.4152</v>
      </c>
      <c r="K53" s="19" t="n">
        <v>61.011</v>
      </c>
      <c r="L53" s="19" t="n">
        <v>432.9286</v>
      </c>
      <c r="M53" s="17" t="n">
        <v>49347</v>
      </c>
      <c r="N53" s="20" t="n">
        <v>0.152515</v>
      </c>
      <c r="O53" s="18" t="n">
        <v>482.737986</v>
      </c>
      <c r="P53" s="17" t="n">
        <v>48274</v>
      </c>
      <c r="Q53" s="17" t="inlineStr">
        <is>
          <t>off</t>
        </is>
      </c>
      <c r="R53" s="17" t="inlineStr"/>
    </row>
    <row r="55">
      <c r="A55" s="15" t="inlineStr">
        <is>
          <t>ClusterMinerE   —   Score ESG 19   —   non certificato   —   blocchi proposti 1</t>
        </is>
      </c>
    </row>
    <row r="56">
      <c r="A56" s="6" t="inlineStr">
        <is>
          <t xml:space="preserve">    Azienda 1</t>
        </is>
      </c>
      <c r="B56" s="5" t="n">
        <v>12</v>
      </c>
      <c r="C56" s="16" t="n">
        <v>1.68</v>
      </c>
      <c r="D56" s="5" t="n">
        <v>14</v>
      </c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</row>
    <row r="57">
      <c r="A57" s="6" t="inlineStr">
        <is>
          <t xml:space="preserve">    Azienda 2</t>
        </is>
      </c>
      <c r="B57" s="5" t="n">
        <v>13</v>
      </c>
      <c r="C57" s="16" t="n">
        <v>1.3</v>
      </c>
      <c r="D57" s="5" t="n">
        <v>10</v>
      </c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</row>
    <row r="58">
      <c r="A58" s="6" t="inlineStr">
        <is>
          <t xml:space="preserve">    Azienda 3</t>
        </is>
      </c>
      <c r="B58" s="5" t="n">
        <v>18</v>
      </c>
      <c r="C58" s="16" t="n">
        <v>3.06</v>
      </c>
      <c r="D58" s="5" t="n">
        <v>17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</row>
    <row r="59">
      <c r="A59" s="6" t="inlineStr">
        <is>
          <t xml:space="preserve">    Azienda 4</t>
        </is>
      </c>
      <c r="B59" s="5" t="n">
        <v>15</v>
      </c>
      <c r="C59" s="16" t="n">
        <v>2.7</v>
      </c>
      <c r="D59" s="5" t="n">
        <v>18</v>
      </c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</row>
    <row r="60">
      <c r="A60" s="6" t="inlineStr">
        <is>
          <t xml:space="preserve">    Azienda 5</t>
        </is>
      </c>
      <c r="B60" s="5" t="n">
        <v>15</v>
      </c>
      <c r="C60" s="16" t="n">
        <v>1.65</v>
      </c>
      <c r="D60" s="5" t="n">
        <v>11</v>
      </c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</row>
    <row r="61">
      <c r="A61" s="6" t="inlineStr">
        <is>
          <t xml:space="preserve">    Azienda 6</t>
        </is>
      </c>
      <c r="B61" s="5" t="n">
        <v>14</v>
      </c>
      <c r="C61" s="16" t="n">
        <v>2.24</v>
      </c>
      <c r="D61" s="5" t="n">
        <v>16</v>
      </c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</row>
    <row r="62">
      <c r="A62" s="6" t="inlineStr">
        <is>
          <t xml:space="preserve">    Azienda 7</t>
        </is>
      </c>
      <c r="B62" s="5" t="n">
        <v>13</v>
      </c>
      <c r="C62" s="16" t="n">
        <v>1.43</v>
      </c>
      <c r="D62" s="5" t="n">
        <v>11</v>
      </c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</row>
    <row r="63">
      <c r="A63" s="6" t="inlineStr">
        <is>
          <t xml:space="preserve">    Azienda 8</t>
        </is>
      </c>
      <c r="B63" s="5" t="n">
        <v>12</v>
      </c>
      <c r="C63" s="16" t="n">
        <v>2.16</v>
      </c>
      <c r="D63" s="5" t="n">
        <v>18</v>
      </c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</row>
    <row r="64">
      <c r="A64" s="6" t="inlineStr">
        <is>
          <t xml:space="preserve">    Azienda 9</t>
        </is>
      </c>
      <c r="B64" s="5" t="n">
        <v>20</v>
      </c>
      <c r="C64" s="16" t="n">
        <v>2.8</v>
      </c>
      <c r="D64" s="5" t="n">
        <v>14</v>
      </c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</row>
    <row r="65">
      <c r="A65" s="6" t="inlineStr">
        <is>
          <t xml:space="preserve">    Azienda 10</t>
        </is>
      </c>
      <c r="B65" s="5" t="n">
        <v>21</v>
      </c>
      <c r="C65" s="16" t="n">
        <v>4.2</v>
      </c>
      <c r="D65" s="5" t="n">
        <v>20</v>
      </c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</row>
    <row r="66">
      <c r="A66" s="7" t="inlineStr">
        <is>
          <t>TOTALE ClusterMinerE</t>
        </is>
      </c>
      <c r="B66" s="17">
        <f>SUM(B56:B65)</f>
        <v/>
      </c>
      <c r="C66" s="18">
        <f>SUM(C56:C65)</f>
        <v/>
      </c>
      <c r="D66" s="17" t="n">
        <v>19</v>
      </c>
      <c r="E66" s="17" t="n">
        <v>23</v>
      </c>
      <c r="F66" s="18" t="n">
        <v>878.1799999999999</v>
      </c>
      <c r="G66" s="19" t="n">
        <v>230.2879</v>
      </c>
      <c r="H66" s="19" t="n">
        <v>37.9515</v>
      </c>
      <c r="I66" s="19" t="n">
        <v>31.2092</v>
      </c>
      <c r="J66" s="20" t="n">
        <v>48.4617</v>
      </c>
      <c r="K66" s="19" t="n">
        <v>39.1726</v>
      </c>
      <c r="L66" s="19" t="n">
        <v>599.208</v>
      </c>
      <c r="M66" s="17" t="n">
        <v>60827</v>
      </c>
      <c r="N66" s="20" t="n">
        <v>0.187995</v>
      </c>
      <c r="O66" s="18" t="n">
        <v>608.405213</v>
      </c>
      <c r="P66" s="17" t="n">
        <v>60841</v>
      </c>
      <c r="Q66" s="17" t="inlineStr">
        <is>
          <t>within-tol</t>
        </is>
      </c>
      <c r="R66" s="17" t="inlineStr"/>
    </row>
    <row r="68">
      <c r="A68" s="1" t="inlineStr">
        <is>
          <t>TOTALI EPOCH 28</t>
        </is>
      </c>
    </row>
    <row r="69">
      <c r="A69" s="9" t="inlineStr">
        <is>
          <t>Tot Tx Epoch / Tot Impatto</t>
        </is>
      </c>
      <c r="B69" s="10">
        <f>SUM(B4:B13)+SUM(B17:B26)+SUM(B30:B39)+SUM(B43:B52)+SUM(B56:B65)</f>
        <v/>
      </c>
      <c r="C69" s="27">
        <f>SUM(C4:C13)+SUM(C17:C26)+SUM(C30:C39)+SUM(C43:C52)+SUM(C56:C65)</f>
        <v/>
      </c>
      <c r="D69" s="11" t="n"/>
      <c r="E69" s="10">
        <f>E14+E27+E40+E53+E66</f>
        <v/>
      </c>
      <c r="F69" s="27">
        <f>F14+F27+F40+F53+F66</f>
        <v/>
      </c>
      <c r="G69" s="28">
        <f>G14+G27+G40+G53+G66</f>
        <v/>
      </c>
      <c r="H69" s="28">
        <f>H14+H27+H40+H53+H66</f>
        <v/>
      </c>
      <c r="I69" s="28">
        <f>I14+I27+I40+I53+I66</f>
        <v/>
      </c>
      <c r="J69" s="29">
        <f>J14+J27+J40+J53+J66</f>
        <v/>
      </c>
      <c r="K69" s="28">
        <f>K14+K27+K40+K53+K66</f>
        <v/>
      </c>
      <c r="L69" s="28">
        <f>L14+L27+L40+L53+L66</f>
        <v/>
      </c>
      <c r="M69" s="11" t="n"/>
      <c r="N69" s="11" t="n"/>
      <c r="O69" s="11" t="n"/>
      <c r="P69" s="11" t="n"/>
      <c r="Q69" s="11" t="n"/>
      <c r="R69" s="11" t="n"/>
    </row>
    <row r="70">
      <c r="A70" s="9" t="inlineStr">
        <is>
          <t>Total GAS distribuito (= alpha × Theta)</t>
        </is>
      </c>
      <c r="B70" s="28" t="n">
        <v>164.8</v>
      </c>
      <c r="C70" s="11" t="inlineStr">
        <is>
          <t>GAS = EUR ; somma Delay attesa = 1000</t>
        </is>
      </c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2">
      <c r="A72" s="1" t="inlineStr">
        <is>
          <t>Riepilogo Score ESG e Certificato ISO per cluster</t>
        </is>
      </c>
    </row>
    <row r="73">
      <c r="A73" s="3" t="inlineStr">
        <is>
          <t>ClusterMiner</t>
        </is>
      </c>
      <c r="B73" s="3" t="inlineStr">
        <is>
          <t>Score ESG</t>
        </is>
      </c>
      <c r="C73" s="3" t="inlineStr">
        <is>
          <t>Certificato ISO</t>
        </is>
      </c>
      <c r="D73" s="3" t="inlineStr">
        <is>
          <t>Tx Miner</t>
        </is>
      </c>
      <c r="E73" s="3" t="inlineStr">
        <is>
          <t>Guadagno Ex (€)</t>
        </is>
      </c>
    </row>
    <row r="74">
      <c r="A74" s="4" t="inlineStr">
        <is>
          <t>ClusterMinerA</t>
        </is>
      </c>
      <c r="B74" s="5" t="n">
        <v>20</v>
      </c>
      <c r="C74" s="6" t="inlineStr">
        <is>
          <t>ISO 14001</t>
        </is>
      </c>
      <c r="D74" s="5" t="n">
        <v>19</v>
      </c>
      <c r="E74" s="12" t="n">
        <v>36.8028</v>
      </c>
    </row>
    <row r="75">
      <c r="A75" s="4" t="inlineStr">
        <is>
          <t>ClusterMinerB</t>
        </is>
      </c>
      <c r="B75" s="5" t="n">
        <v>19</v>
      </c>
      <c r="C75" s="6" t="inlineStr">
        <is>
          <t>ISO 14001 + ISO 50001</t>
        </is>
      </c>
      <c r="D75" s="5" t="n">
        <v>23</v>
      </c>
      <c r="E75" s="12" t="n">
        <v>38.2799</v>
      </c>
    </row>
    <row r="76">
      <c r="A76" s="4" t="inlineStr">
        <is>
          <t>ClusterMinerC</t>
        </is>
      </c>
      <c r="B76" s="5" t="n">
        <v>13</v>
      </c>
      <c r="C76" s="6" t="inlineStr">
        <is>
          <t>ISO 9001</t>
        </is>
      </c>
      <c r="D76" s="5" t="n">
        <v>20</v>
      </c>
      <c r="E76" s="12" t="n">
        <v>25.2982</v>
      </c>
    </row>
    <row r="77">
      <c r="A77" s="4" t="inlineStr">
        <is>
          <t>ClusterMinerD</t>
        </is>
      </c>
      <c r="B77" s="5" t="n">
        <v>15</v>
      </c>
      <c r="C77" s="6" t="inlineStr">
        <is>
          <t>ISO 14001</t>
        </is>
      </c>
      <c r="D77" s="5" t="n">
        <v>20</v>
      </c>
      <c r="E77" s="12" t="n">
        <v>26.4677</v>
      </c>
    </row>
    <row r="78">
      <c r="A78" s="4" t="inlineStr">
        <is>
          <t>ClusterMinerE</t>
        </is>
      </c>
      <c r="B78" s="5" t="n">
        <v>19</v>
      </c>
      <c r="C78" s="6" t="inlineStr">
        <is>
          <t>non certificato</t>
        </is>
      </c>
      <c r="D78" s="5" t="n">
        <v>23</v>
      </c>
      <c r="E78" s="12" t="n">
        <v>37.9515</v>
      </c>
    </row>
  </sheetData>
  <mergeCells count="8">
    <mergeCell ref="A3:R3"/>
    <mergeCell ref="A55:R55"/>
    <mergeCell ref="A29:R29"/>
    <mergeCell ref="A72:E72"/>
    <mergeCell ref="A16:R16"/>
    <mergeCell ref="A42:R42"/>
    <mergeCell ref="A68:R68"/>
    <mergeCell ref="A1:R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2" customWidth="1" min="4" max="4"/>
    <col width="11" customWidth="1" min="5" max="5"/>
    <col width="18" customWidth="1" min="6" max="6"/>
    <col width="14" customWidth="1" min="7" max="7"/>
    <col width="13" customWidth="1" min="8" max="8"/>
    <col width="15" customWidth="1" min="9" max="9"/>
    <col width="12" customWidth="1" min="10" max="10"/>
  </cols>
  <sheetData>
    <row r="1">
      <c r="A1" s="1" t="inlineStr">
        <is>
          <t>Riepilogo per epoca</t>
        </is>
      </c>
    </row>
    <row r="2">
      <c r="A2" s="3" t="inlineStr">
        <is>
          <t>Epoch</t>
        </is>
      </c>
      <c r="B2" s="3" t="inlineStr">
        <is>
          <t>Proposer</t>
        </is>
      </c>
      <c r="C2" s="3" t="inlineStr">
        <is>
          <t>Theta (Tx azienda)</t>
        </is>
      </c>
      <c r="D2" s="3" t="inlineStr">
        <is>
          <t>Tot Impatto (Σ W_k)</t>
        </is>
      </c>
      <c r="E2" s="3" t="inlineStr">
        <is>
          <t>Σ tau_Mk</t>
        </is>
      </c>
      <c r="F2" s="3" t="inlineStr">
        <is>
          <t>Somma Delay (=1000)</t>
        </is>
      </c>
      <c r="G2" s="3" t="inlineStr">
        <is>
          <t>alpha×Theta (€)</t>
        </is>
      </c>
      <c r="H2" s="3" t="inlineStr">
        <is>
          <t>Σ Guadagno (€)</t>
        </is>
      </c>
      <c r="I2" s="3" t="inlineStr">
        <is>
          <t>Σ Resi (€)</t>
        </is>
      </c>
      <c r="J2" s="3" t="inlineStr">
        <is>
          <t>% Reso media</t>
        </is>
      </c>
    </row>
    <row r="3">
      <c r="A3" s="5" t="n">
        <v>9</v>
      </c>
      <c r="B3" s="30" t="inlineStr">
        <is>
          <t>ClusterMinerB</t>
        </is>
      </c>
      <c r="C3" s="5" t="n">
        <v>666</v>
      </c>
      <c r="D3" s="16" t="n">
        <v>3106.01</v>
      </c>
      <c r="E3" s="5" t="n">
        <v>85</v>
      </c>
      <c r="F3" s="12" t="n">
        <v>999.9999</v>
      </c>
      <c r="G3" s="12" t="n">
        <v>133.2</v>
      </c>
      <c r="H3" s="12" t="n">
        <v>133.1999</v>
      </c>
      <c r="I3" s="12" t="n">
        <v>95.81580000000001</v>
      </c>
      <c r="J3" s="12" t="n">
        <v>71.93383778816651</v>
      </c>
    </row>
    <row r="4">
      <c r="A4" s="5" t="n">
        <v>10</v>
      </c>
      <c r="B4" s="30" t="inlineStr">
        <is>
          <t>ClusterMinerD</t>
        </is>
      </c>
      <c r="C4" s="5" t="n">
        <v>483</v>
      </c>
      <c r="D4" s="16" t="n">
        <v>2205.35</v>
      </c>
      <c r="E4" s="5" t="n">
        <v>60</v>
      </c>
      <c r="F4" s="12" t="n">
        <v>1000</v>
      </c>
      <c r="G4" s="12" t="n">
        <v>96.60000000000001</v>
      </c>
      <c r="H4" s="12" t="n">
        <v>96.59999999999999</v>
      </c>
      <c r="I4" s="12" t="n">
        <v>89.84540000000001</v>
      </c>
      <c r="J4" s="12" t="n">
        <v>67.05676270542551</v>
      </c>
    </row>
    <row r="5">
      <c r="A5" s="5" t="n">
        <v>11</v>
      </c>
      <c r="B5" s="30" t="inlineStr">
        <is>
          <t>ClusterMinerA</t>
        </is>
      </c>
      <c r="C5" s="5" t="n">
        <v>488</v>
      </c>
      <c r="D5" s="16" t="n">
        <v>2287.56</v>
      </c>
      <c r="E5" s="5" t="n">
        <v>65</v>
      </c>
      <c r="F5" s="12" t="n">
        <v>1000</v>
      </c>
      <c r="G5" s="12" t="n">
        <v>97.60000000000001</v>
      </c>
      <c r="H5" s="12" t="n">
        <v>97.59999999999999</v>
      </c>
      <c r="I5" s="12" t="n">
        <v>92.9101</v>
      </c>
      <c r="J5" s="12" t="n">
        <v>65.55026961584946</v>
      </c>
    </row>
    <row r="6">
      <c r="A6" s="5" t="n">
        <v>12</v>
      </c>
      <c r="B6" s="30" t="inlineStr">
        <is>
          <t>ClusterMinerA</t>
        </is>
      </c>
      <c r="C6" s="5" t="n">
        <v>795</v>
      </c>
      <c r="D6" s="16" t="n">
        <v>3632.35</v>
      </c>
      <c r="E6" s="5" t="n">
        <v>100</v>
      </c>
      <c r="F6" s="12" t="n">
        <v>1000</v>
      </c>
      <c r="G6" s="12" t="n">
        <v>159</v>
      </c>
      <c r="H6" s="12" t="n">
        <v>158.9999</v>
      </c>
      <c r="I6" s="12" t="n">
        <v>139.8051</v>
      </c>
      <c r="J6" s="12" t="n">
        <v>67.26945534419004</v>
      </c>
    </row>
    <row r="7">
      <c r="A7" s="5" t="n">
        <v>13</v>
      </c>
      <c r="B7" s="30" t="inlineStr">
        <is>
          <t>ClusterMinerE</t>
        </is>
      </c>
      <c r="C7" s="5" t="n">
        <v>627</v>
      </c>
      <c r="D7" s="16" t="n">
        <v>3075.69</v>
      </c>
      <c r="E7" s="5" t="n">
        <v>91</v>
      </c>
      <c r="F7" s="12" t="n">
        <v>1000</v>
      </c>
      <c r="G7" s="12" t="n">
        <v>125.4</v>
      </c>
      <c r="H7" s="12" t="n">
        <v>125.4</v>
      </c>
      <c r="I7" s="12" t="n">
        <v>126.6005</v>
      </c>
      <c r="J7" s="12" t="n">
        <v>65.45252539248094</v>
      </c>
    </row>
    <row r="8">
      <c r="A8" s="5" t="n">
        <v>14</v>
      </c>
      <c r="B8" s="30" t="inlineStr">
        <is>
          <t>ClusterMinerE</t>
        </is>
      </c>
      <c r="C8" s="5" t="n">
        <v>499</v>
      </c>
      <c r="D8" s="16" t="n">
        <v>2398.42</v>
      </c>
      <c r="E8" s="5" t="n">
        <v>68</v>
      </c>
      <c r="F8" s="12" t="n">
        <v>999.9999999999999</v>
      </c>
      <c r="G8" s="12" t="n">
        <v>99.80000000000001</v>
      </c>
      <c r="H8" s="12" t="n">
        <v>99.80000000000001</v>
      </c>
      <c r="I8" s="12" t="n">
        <v>107.3278</v>
      </c>
      <c r="J8" s="12" t="n">
        <v>64.41359501004963</v>
      </c>
    </row>
    <row r="9">
      <c r="A9" s="5" t="n">
        <v>15</v>
      </c>
      <c r="B9" s="30" t="inlineStr">
        <is>
          <t>ClusterMinerC</t>
        </is>
      </c>
      <c r="C9" s="5" t="n">
        <v>851</v>
      </c>
      <c r="D9" s="16" t="n">
        <v>3755.63</v>
      </c>
      <c r="E9" s="5" t="n">
        <v>99</v>
      </c>
      <c r="F9" s="12" t="n">
        <v>1000</v>
      </c>
      <c r="G9" s="12" t="n">
        <v>170.2</v>
      </c>
      <c r="H9" s="12" t="n">
        <v>170.1999</v>
      </c>
      <c r="I9" s="12" t="n">
        <v>152.4515</v>
      </c>
      <c r="J9" s="12" t="n">
        <v>66.42911610274734</v>
      </c>
    </row>
    <row r="10">
      <c r="A10" s="5" t="n">
        <v>16</v>
      </c>
      <c r="B10" s="30" t="inlineStr">
        <is>
          <t>ClusterMinerC</t>
        </is>
      </c>
      <c r="C10" s="5" t="n">
        <v>640</v>
      </c>
      <c r="D10" s="16" t="n">
        <v>2836.25</v>
      </c>
      <c r="E10" s="5" t="n">
        <v>74</v>
      </c>
      <c r="F10" s="12" t="n">
        <v>999.9999</v>
      </c>
      <c r="G10" s="12" t="n">
        <v>128</v>
      </c>
      <c r="H10" s="12" t="n">
        <v>128.0001</v>
      </c>
      <c r="I10" s="12" t="n">
        <v>133.8482</v>
      </c>
      <c r="J10" s="12" t="n">
        <v>65.27792137867263</v>
      </c>
    </row>
    <row r="11">
      <c r="A11" s="5" t="n">
        <v>17</v>
      </c>
      <c r="B11" s="30" t="inlineStr">
        <is>
          <t>ClusterMinerE</t>
        </is>
      </c>
      <c r="C11" s="5" t="n">
        <v>635</v>
      </c>
      <c r="D11" s="16" t="n">
        <v>2907.13</v>
      </c>
      <c r="E11" s="5" t="n">
        <v>78</v>
      </c>
      <c r="F11" s="12" t="n">
        <v>1000</v>
      </c>
      <c r="G11" s="12" t="n">
        <v>127</v>
      </c>
      <c r="H11" s="12" t="n">
        <v>127</v>
      </c>
      <c r="I11" s="12" t="n">
        <v>130.4902</v>
      </c>
      <c r="J11" s="12" t="n">
        <v>65.83916680205495</v>
      </c>
    </row>
    <row r="12">
      <c r="A12" s="5" t="n">
        <v>18</v>
      </c>
      <c r="B12" s="30" t="inlineStr">
        <is>
          <t>ClusterMinerD</t>
        </is>
      </c>
      <c r="C12" s="5" t="n">
        <v>663</v>
      </c>
      <c r="D12" s="16" t="n">
        <v>2969.99</v>
      </c>
      <c r="E12" s="5" t="n">
        <v>78</v>
      </c>
      <c r="F12" s="12" t="n">
        <v>1000.0001</v>
      </c>
      <c r="G12" s="12" t="n">
        <v>132.6</v>
      </c>
      <c r="H12" s="12" t="n">
        <v>132.5999</v>
      </c>
      <c r="I12" s="12" t="n">
        <v>131.1357</v>
      </c>
      <c r="J12" s="12" t="n">
        <v>65.46797859864775</v>
      </c>
    </row>
    <row r="13">
      <c r="A13" s="5" t="n">
        <v>19</v>
      </c>
      <c r="B13" s="30" t="inlineStr">
        <is>
          <t>ClusterMinerE</t>
        </is>
      </c>
      <c r="C13" s="5" t="n">
        <v>662</v>
      </c>
      <c r="D13" s="16" t="n">
        <v>3061.7</v>
      </c>
      <c r="E13" s="5" t="n">
        <v>84</v>
      </c>
      <c r="F13" s="12" t="n">
        <v>1000</v>
      </c>
      <c r="G13" s="12" t="n">
        <v>132.4</v>
      </c>
      <c r="H13" s="12" t="n">
        <v>132.4</v>
      </c>
      <c r="I13" s="12" t="n">
        <v>132.3304</v>
      </c>
      <c r="J13" s="12" t="n">
        <v>65.65004410391656</v>
      </c>
    </row>
    <row r="14">
      <c r="A14" s="5" t="n">
        <v>20</v>
      </c>
      <c r="B14" s="30" t="inlineStr">
        <is>
          <t>ClusterMinerB</t>
        </is>
      </c>
      <c r="C14" s="5" t="n">
        <v>641</v>
      </c>
      <c r="D14" s="16" t="n">
        <v>3128.62</v>
      </c>
      <c r="E14" s="5" t="n">
        <v>91</v>
      </c>
      <c r="F14" s="12" t="n">
        <v>1000.0001</v>
      </c>
      <c r="G14" s="12" t="n">
        <v>128.2</v>
      </c>
      <c r="H14" s="12" t="n">
        <v>128.2</v>
      </c>
      <c r="I14" s="12" t="n">
        <v>128.6018</v>
      </c>
      <c r="J14" s="12" t="n">
        <v>65.13495307411402</v>
      </c>
    </row>
    <row r="15">
      <c r="A15" s="5" t="n">
        <v>21</v>
      </c>
      <c r="B15" s="30" t="inlineStr">
        <is>
          <t>ClusterMinerE</t>
        </is>
      </c>
      <c r="C15" s="5" t="n">
        <v>492</v>
      </c>
      <c r="D15" s="16" t="n">
        <v>2460.48</v>
      </c>
      <c r="E15" s="5" t="n">
        <v>73</v>
      </c>
      <c r="F15" s="12" t="n">
        <v>1000</v>
      </c>
      <c r="G15" s="12" t="n">
        <v>98.40000000000001</v>
      </c>
      <c r="H15" s="12" t="n">
        <v>98.3999</v>
      </c>
      <c r="I15" s="12" t="n">
        <v>105.7748</v>
      </c>
      <c r="J15" s="12" t="n">
        <v>63.24840600560522</v>
      </c>
    </row>
    <row r="16">
      <c r="A16" s="5" t="n">
        <v>22</v>
      </c>
      <c r="B16" s="30" t="inlineStr">
        <is>
          <t>ClusterMinerC</t>
        </is>
      </c>
      <c r="C16" s="5" t="n">
        <v>650</v>
      </c>
      <c r="D16" s="16" t="n">
        <v>2906.66</v>
      </c>
      <c r="E16" s="5" t="n">
        <v>78</v>
      </c>
      <c r="F16" s="12" t="n">
        <v>999.9998999999999</v>
      </c>
      <c r="G16" s="12" t="n">
        <v>130</v>
      </c>
      <c r="H16" s="12" t="n">
        <v>130</v>
      </c>
      <c r="I16" s="12" t="n">
        <v>124.8012</v>
      </c>
      <c r="J16" s="12" t="n">
        <v>65.1831718306946</v>
      </c>
    </row>
    <row r="17">
      <c r="A17" s="5" t="n">
        <v>23</v>
      </c>
      <c r="B17" s="30" t="inlineStr">
        <is>
          <t>ClusterMinerA</t>
        </is>
      </c>
      <c r="C17" s="5" t="n">
        <v>816</v>
      </c>
      <c r="D17" s="16" t="n">
        <v>3610.58</v>
      </c>
      <c r="E17" s="5" t="n">
        <v>95</v>
      </c>
      <c r="F17" s="12" t="n">
        <v>1000</v>
      </c>
      <c r="G17" s="12" t="n">
        <v>163.2</v>
      </c>
      <c r="H17" s="12" t="n">
        <v>163.2</v>
      </c>
      <c r="I17" s="12" t="n">
        <v>151.7381</v>
      </c>
      <c r="J17" s="12" t="n">
        <v>66.01295303990105</v>
      </c>
    </row>
    <row r="18">
      <c r="A18" s="5" t="n">
        <v>24</v>
      </c>
      <c r="B18" s="30" t="inlineStr">
        <is>
          <t>ClusterMinerE</t>
        </is>
      </c>
      <c r="C18" s="5" t="n">
        <v>649</v>
      </c>
      <c r="D18" s="16" t="n">
        <v>3092.44</v>
      </c>
      <c r="E18" s="5" t="n">
        <v>90</v>
      </c>
      <c r="F18" s="12" t="n">
        <v>1000.0001</v>
      </c>
      <c r="G18" s="12" t="n">
        <v>129.8</v>
      </c>
      <c r="H18" s="12" t="n">
        <v>129.7999</v>
      </c>
      <c r="I18" s="12" t="n">
        <v>135.8418</v>
      </c>
      <c r="J18" s="12" t="n">
        <v>65.33277479296412</v>
      </c>
    </row>
    <row r="19">
      <c r="A19" s="5" t="n">
        <v>25</v>
      </c>
      <c r="B19" s="30" t="inlineStr">
        <is>
          <t>ClusterMinerA</t>
        </is>
      </c>
      <c r="C19" s="5" t="n">
        <v>628</v>
      </c>
      <c r="D19" s="16" t="n">
        <v>2828.83</v>
      </c>
      <c r="E19" s="5" t="n">
        <v>75</v>
      </c>
      <c r="F19" s="12" t="n">
        <v>1000</v>
      </c>
      <c r="G19" s="12" t="n">
        <v>125.6</v>
      </c>
      <c r="H19" s="12" t="n">
        <v>125.6</v>
      </c>
      <c r="I19" s="12" t="n">
        <v>129.55</v>
      </c>
      <c r="J19" s="12" t="n">
        <v>65.5348437458108</v>
      </c>
    </row>
    <row r="20">
      <c r="A20" s="5" t="n">
        <v>26</v>
      </c>
      <c r="B20" s="30" t="inlineStr">
        <is>
          <t>ClusterMinerA</t>
        </is>
      </c>
      <c r="C20" s="5" t="n">
        <v>698</v>
      </c>
      <c r="D20" s="16" t="n">
        <v>3348.22</v>
      </c>
      <c r="E20" s="5" t="n">
        <v>95</v>
      </c>
      <c r="F20" s="12" t="n">
        <v>999.9999</v>
      </c>
      <c r="G20" s="12" t="n">
        <v>139.6</v>
      </c>
      <c r="H20" s="12" t="n">
        <v>139.6</v>
      </c>
      <c r="I20" s="12" t="n">
        <v>132.028</v>
      </c>
      <c r="J20" s="12" t="n">
        <v>63.55716597081516</v>
      </c>
    </row>
    <row r="21">
      <c r="A21" s="5" t="n">
        <v>27</v>
      </c>
      <c r="B21" s="30" t="inlineStr">
        <is>
          <t>ClusterMinerD</t>
        </is>
      </c>
      <c r="C21" s="5" t="n">
        <v>483</v>
      </c>
      <c r="D21" s="16" t="n">
        <v>2360.6</v>
      </c>
      <c r="E21" s="5" t="n">
        <v>69</v>
      </c>
      <c r="F21" s="12" t="n">
        <v>1000</v>
      </c>
      <c r="G21" s="12" t="n">
        <v>96.60000000000001</v>
      </c>
      <c r="H21" s="12" t="n">
        <v>96.59990000000001</v>
      </c>
      <c r="I21" s="12" t="n">
        <v>107.6336</v>
      </c>
      <c r="J21" s="12" t="n">
        <v>62.46762969884448</v>
      </c>
    </row>
    <row r="22">
      <c r="A22" s="5" t="n">
        <v>28</v>
      </c>
      <c r="B22" s="30" t="inlineStr">
        <is>
          <t>ClusterMinerB</t>
        </is>
      </c>
      <c r="C22" s="5" t="n">
        <v>824</v>
      </c>
      <c r="D22" s="16" t="n">
        <v>3813.4</v>
      </c>
      <c r="E22" s="5" t="n">
        <v>105</v>
      </c>
      <c r="F22" s="12" t="n">
        <v>1000</v>
      </c>
      <c r="G22" s="12" t="n">
        <v>164.8</v>
      </c>
      <c r="H22" s="12" t="n">
        <v>164.8001</v>
      </c>
      <c r="I22" s="12" t="n">
        <v>153.972</v>
      </c>
      <c r="J22" s="12" t="n">
        <v>67.0991133897969</v>
      </c>
    </row>
    <row r="24">
      <c r="A24" s="1" t="inlineStr">
        <is>
          <t>Totali della run per cluster</t>
        </is>
      </c>
    </row>
    <row r="25">
      <c r="A25" s="3" t="inlineStr">
        <is>
          <t>ClusterMiner</t>
        </is>
      </c>
      <c r="B25" s="3" t="inlineStr">
        <is>
          <t>Σ tau_Mk</t>
        </is>
      </c>
      <c r="C25" s="3" t="inlineStr">
        <is>
          <t>Guadagno (€)</t>
        </is>
      </c>
      <c r="D25" s="3" t="inlineStr">
        <is>
          <t>Resi (€)</t>
        </is>
      </c>
      <c r="E25" s="3" t="inlineStr">
        <is>
          <t>% Reso</t>
        </is>
      </c>
      <c r="F25" s="3" t="inlineStr">
        <is>
          <t>Giacenza finale B_k</t>
        </is>
      </c>
      <c r="G25" s="3" t="inlineStr">
        <is>
          <t>Total GAIN</t>
        </is>
      </c>
      <c r="H25" s="3" t="inlineStr">
        <is>
          <t>Peso % medio</t>
        </is>
      </c>
      <c r="I25" s="3" t="inlineStr">
        <is>
          <t>Blocchi proposti</t>
        </is>
      </c>
      <c r="J25" s="3" t="inlineStr">
        <is>
          <t>Match w_k</t>
        </is>
      </c>
    </row>
    <row r="26">
      <c r="A26" s="7" t="inlineStr">
        <is>
          <t>ClusterMinerA</t>
        </is>
      </c>
      <c r="B26" s="5" t="n">
        <v>318</v>
      </c>
      <c r="C26" s="12" t="n">
        <v>564.2354</v>
      </c>
      <c r="D26" s="12" t="n">
        <v>564.2354</v>
      </c>
      <c r="E26" s="12" t="n">
        <v>98.40356253658074</v>
      </c>
      <c r="F26" s="31" t="n">
        <v>0</v>
      </c>
      <c r="G26" s="12" t="n">
        <v>564.2354</v>
      </c>
      <c r="H26" s="12" t="n">
        <v>24.8731</v>
      </c>
      <c r="I26" s="5" t="n">
        <v>28</v>
      </c>
      <c r="J26" s="32" t="inlineStr">
        <is>
          <t>13/20</t>
        </is>
      </c>
    </row>
    <row r="27">
      <c r="A27" s="7" t="inlineStr">
        <is>
          <t>ClusterMinerB</t>
        </is>
      </c>
      <c r="B27" s="5" t="n">
        <v>339</v>
      </c>
      <c r="C27" s="12" t="n">
        <v>570.6156999999999</v>
      </c>
      <c r="D27" s="12" t="n">
        <v>566.3222</v>
      </c>
      <c r="E27" s="12" t="n">
        <v>88.83414422880695</v>
      </c>
      <c r="F27" s="31" t="n">
        <v>4.2935</v>
      </c>
      <c r="G27" s="12" t="n">
        <v>570.6156999999999</v>
      </c>
      <c r="H27" s="12" t="n">
        <v>24.12347</v>
      </c>
      <c r="I27" s="5" t="n">
        <v>21</v>
      </c>
      <c r="J27" s="32" t="inlineStr">
        <is>
          <t>16/20</t>
        </is>
      </c>
    </row>
    <row r="28">
      <c r="A28" s="7" t="inlineStr">
        <is>
          <t>ClusterMinerC</t>
        </is>
      </c>
      <c r="B28" s="5" t="n">
        <v>329</v>
      </c>
      <c r="C28" s="12" t="n">
        <v>411.0118</v>
      </c>
      <c r="D28" s="12" t="n">
        <v>403.6846999999999</v>
      </c>
      <c r="E28" s="12" t="n">
        <v>75.03115109619888</v>
      </c>
      <c r="F28" s="31" t="n">
        <v>7.3271</v>
      </c>
      <c r="G28" s="12" t="n">
        <v>411.0118</v>
      </c>
      <c r="H28" s="12" t="n">
        <v>16.20833</v>
      </c>
      <c r="I28" s="5" t="n">
        <v>22</v>
      </c>
      <c r="J28" s="32" t="inlineStr">
        <is>
          <t>17/20</t>
        </is>
      </c>
    </row>
    <row r="29">
      <c r="A29" s="7" t="inlineStr">
        <is>
          <t>ClusterMinerD</t>
        </is>
      </c>
      <c r="B29" s="5" t="n">
        <v>322</v>
      </c>
      <c r="C29" s="12" t="n">
        <v>432.9286</v>
      </c>
      <c r="D29" s="12" t="n">
        <v>417.5133999999999</v>
      </c>
      <c r="E29" s="12" t="n">
        <v>59.86941000769315</v>
      </c>
      <c r="F29" s="31" t="n">
        <v>15.4152</v>
      </c>
      <c r="G29" s="12" t="n">
        <v>432.9286</v>
      </c>
      <c r="H29" s="12" t="n">
        <v>15.578605</v>
      </c>
      <c r="I29" s="5" t="n">
        <v>21</v>
      </c>
      <c r="J29" s="32" t="inlineStr">
        <is>
          <t>18/20</t>
        </is>
      </c>
    </row>
    <row r="30">
      <c r="A30" s="7" t="inlineStr">
        <is>
          <t>ClusterMinerE</t>
        </is>
      </c>
      <c r="B30" s="5" t="n">
        <v>345</v>
      </c>
      <c r="C30" s="12" t="n">
        <v>599.2080000000001</v>
      </c>
      <c r="D30" s="12" t="n">
        <v>550.7462999999999</v>
      </c>
      <c r="E30" s="12" t="n">
        <v>40.3116110296822</v>
      </c>
      <c r="F30" s="31" t="n">
        <v>48.4617</v>
      </c>
      <c r="G30" s="12" t="n">
        <v>599.208</v>
      </c>
      <c r="H30" s="12" t="n">
        <v>19.21648</v>
      </c>
      <c r="I30" s="5" t="n">
        <v>28</v>
      </c>
      <c r="J30" s="32" t="inlineStr">
        <is>
          <t>19/20</t>
        </is>
      </c>
    </row>
  </sheetData>
  <mergeCells count="2">
    <mergeCell ref="A1:J1"/>
    <mergeCell ref="A24:J2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Peso pubblicato dall'engine (wpoa-weights) per epoca × cluster</t>
        </is>
      </c>
    </row>
    <row r="2">
      <c r="A2" s="3" t="inlineStr">
        <is>
          <t>Epoch</t>
        </is>
      </c>
      <c r="B2" s="3" t="inlineStr">
        <is>
          <t>ClusterMinerA</t>
        </is>
      </c>
      <c r="C2" s="3" t="inlineStr">
        <is>
          <t>ClusterMinerB</t>
        </is>
      </c>
      <c r="D2" s="3" t="inlineStr">
        <is>
          <t>ClusterMinerC</t>
        </is>
      </c>
      <c r="E2" s="3" t="inlineStr">
        <is>
          <t>ClusterMinerD</t>
        </is>
      </c>
      <c r="F2" s="3" t="inlineStr">
        <is>
          <t>ClusterMinerE</t>
        </is>
      </c>
      <c r="G2" s="3" t="inlineStr">
        <is>
          <t>Proposer</t>
        </is>
      </c>
    </row>
    <row r="3">
      <c r="A3" s="5" t="n">
        <v>9</v>
      </c>
      <c r="B3" s="5" t="n">
        <v>34880</v>
      </c>
      <c r="C3" s="5" t="n">
        <v>35340</v>
      </c>
      <c r="D3" s="5" t="n">
        <v>22815</v>
      </c>
      <c r="E3" s="5" t="n">
        <v>22755</v>
      </c>
      <c r="F3" s="5" t="n">
        <v>39511</v>
      </c>
      <c r="G3" s="30" t="inlineStr">
        <is>
          <t>ClusterMinerB</t>
        </is>
      </c>
    </row>
    <row r="4">
      <c r="A4" s="5" t="n">
        <v>10</v>
      </c>
      <c r="B4" s="5" t="n">
        <v>40608</v>
      </c>
      <c r="C4" s="5" t="n">
        <v>46985</v>
      </c>
      <c r="D4" s="5" t="n">
        <v>36003</v>
      </c>
      <c r="E4" s="5" t="n">
        <v>27215</v>
      </c>
      <c r="F4" s="5" t="n">
        <v>37907</v>
      </c>
      <c r="G4" s="30" t="inlineStr">
        <is>
          <t>ClusterMinerD</t>
        </is>
      </c>
    </row>
    <row r="5">
      <c r="A5" s="5" t="n">
        <v>11</v>
      </c>
      <c r="B5" s="5" t="n">
        <v>42573</v>
      </c>
      <c r="C5" s="5" t="n">
        <v>48569</v>
      </c>
      <c r="D5" s="5" t="n">
        <v>39763</v>
      </c>
      <c r="E5" s="5" t="n">
        <v>25602</v>
      </c>
      <c r="F5" s="5" t="n">
        <v>40172</v>
      </c>
      <c r="G5" s="30" t="inlineStr">
        <is>
          <t>ClusterMinerA</t>
        </is>
      </c>
    </row>
    <row r="6">
      <c r="A6" s="5" t="n">
        <v>12</v>
      </c>
      <c r="B6" s="5" t="n">
        <v>80760</v>
      </c>
      <c r="C6" s="5" t="n">
        <v>76409</v>
      </c>
      <c r="D6" s="5" t="n">
        <v>58618</v>
      </c>
      <c r="E6" s="5" t="n">
        <v>43137</v>
      </c>
      <c r="F6" s="5" t="n">
        <v>55942</v>
      </c>
      <c r="G6" s="30" t="inlineStr">
        <is>
          <t>ClusterMinerA</t>
        </is>
      </c>
    </row>
    <row r="7">
      <c r="A7" s="5" t="n">
        <v>13</v>
      </c>
      <c r="B7" s="5" t="n">
        <v>68546</v>
      </c>
      <c r="C7" s="5" t="n">
        <v>60357</v>
      </c>
      <c r="D7" s="5" t="n">
        <v>41999</v>
      </c>
      <c r="E7" s="5" t="n">
        <v>45730</v>
      </c>
      <c r="F7" s="5" t="n">
        <v>47638</v>
      </c>
      <c r="G7" s="30" t="inlineStr">
        <is>
          <t>ClusterMinerE</t>
        </is>
      </c>
    </row>
    <row r="8">
      <c r="A8" s="5" t="n">
        <v>14</v>
      </c>
      <c r="B8" s="5" t="n">
        <v>53056</v>
      </c>
      <c r="C8" s="5" t="n">
        <v>48357</v>
      </c>
      <c r="D8" s="5" t="n">
        <v>30195</v>
      </c>
      <c r="E8" s="5" t="n">
        <v>32973</v>
      </c>
      <c r="F8" s="5" t="n">
        <v>41280</v>
      </c>
      <c r="G8" s="30" t="inlineStr">
        <is>
          <t>ClusterMinerE</t>
        </is>
      </c>
    </row>
    <row r="9">
      <c r="A9" s="5" t="n">
        <v>15</v>
      </c>
      <c r="B9" s="5" t="n">
        <v>76252</v>
      </c>
      <c r="C9" s="5" t="n">
        <v>74106</v>
      </c>
      <c r="D9" s="5" t="n">
        <v>54913</v>
      </c>
      <c r="E9" s="5" t="n">
        <v>53650</v>
      </c>
      <c r="F9" s="5" t="n">
        <v>63800</v>
      </c>
      <c r="G9" s="30" t="inlineStr">
        <is>
          <t>ClusterMinerC</t>
        </is>
      </c>
    </row>
    <row r="10">
      <c r="A10" s="5" t="n">
        <v>16</v>
      </c>
      <c r="B10" s="5" t="n">
        <v>56022</v>
      </c>
      <c r="C10" s="5" t="n">
        <v>62284</v>
      </c>
      <c r="D10" s="5" t="n">
        <v>39264</v>
      </c>
      <c r="E10" s="5" t="n">
        <v>38743</v>
      </c>
      <c r="F10" s="5" t="n">
        <v>47521</v>
      </c>
      <c r="G10" s="30" t="inlineStr">
        <is>
          <t>ClusterMinerC</t>
        </is>
      </c>
    </row>
    <row r="11">
      <c r="A11" s="5" t="n">
        <v>17</v>
      </c>
      <c r="B11" s="5" t="n">
        <v>67720</v>
      </c>
      <c r="C11" s="5" t="n">
        <v>64449</v>
      </c>
      <c r="D11" s="5" t="n">
        <v>36509</v>
      </c>
      <c r="E11" s="5" t="n">
        <v>42852</v>
      </c>
      <c r="F11" s="5" t="n">
        <v>42898</v>
      </c>
      <c r="G11" s="30" t="inlineStr">
        <is>
          <t>ClusterMinerE</t>
        </is>
      </c>
    </row>
    <row r="12">
      <c r="A12" s="5" t="n">
        <v>18</v>
      </c>
      <c r="B12" s="5" t="n">
        <v>64960</v>
      </c>
      <c r="C12" s="5" t="n">
        <v>63875</v>
      </c>
      <c r="D12" s="5" t="n">
        <v>39606</v>
      </c>
      <c r="E12" s="5" t="n">
        <v>41111</v>
      </c>
      <c r="F12" s="5" t="n">
        <v>48195</v>
      </c>
      <c r="G12" s="30" t="inlineStr">
        <is>
          <t>ClusterMinerD</t>
        </is>
      </c>
    </row>
    <row r="13">
      <c r="A13" s="5" t="n">
        <v>19</v>
      </c>
      <c r="B13" s="5" t="n">
        <v>68993</v>
      </c>
      <c r="C13" s="5" t="n">
        <v>70886</v>
      </c>
      <c r="D13" s="5" t="n">
        <v>40823</v>
      </c>
      <c r="E13" s="5" t="n">
        <v>38613</v>
      </c>
      <c r="F13" s="5" t="n">
        <v>48500</v>
      </c>
      <c r="G13" s="30" t="inlineStr">
        <is>
          <t>ClusterMinerE</t>
        </is>
      </c>
    </row>
    <row r="14">
      <c r="A14" s="5" t="n">
        <v>20</v>
      </c>
      <c r="B14" s="5" t="n">
        <v>69476</v>
      </c>
      <c r="C14" s="5" t="n">
        <v>61007</v>
      </c>
      <c r="D14" s="5" t="n">
        <v>42693</v>
      </c>
      <c r="E14" s="5" t="n">
        <v>43637</v>
      </c>
      <c r="F14" s="5" t="n">
        <v>54749</v>
      </c>
      <c r="G14" s="30" t="inlineStr">
        <is>
          <t>ClusterMinerB</t>
        </is>
      </c>
    </row>
    <row r="15">
      <c r="A15" s="5" t="n">
        <v>21</v>
      </c>
      <c r="B15" s="5" t="n">
        <v>51746</v>
      </c>
      <c r="C15" s="5" t="n">
        <v>50911</v>
      </c>
      <c r="D15" s="5" t="n">
        <v>34562</v>
      </c>
      <c r="E15" s="5" t="n">
        <v>33287</v>
      </c>
      <c r="F15" s="5" t="n">
        <v>40940</v>
      </c>
      <c r="G15" s="30" t="inlineStr">
        <is>
          <t>ClusterMinerE</t>
        </is>
      </c>
    </row>
    <row r="16">
      <c r="A16" s="5" t="n">
        <v>22</v>
      </c>
      <c r="B16" s="5" t="n">
        <v>60160</v>
      </c>
      <c r="C16" s="5" t="n">
        <v>57597</v>
      </c>
      <c r="D16" s="5" t="n">
        <v>41381</v>
      </c>
      <c r="E16" s="5" t="n">
        <v>43295</v>
      </c>
      <c r="F16" s="5" t="n">
        <v>48250</v>
      </c>
      <c r="G16" s="30" t="inlineStr">
        <is>
          <t>ClusterMinerC</t>
        </is>
      </c>
    </row>
    <row r="17">
      <c r="A17" s="5" t="n">
        <v>23</v>
      </c>
      <c r="B17" s="5" t="n">
        <v>73156</v>
      </c>
      <c r="C17" s="5" t="n">
        <v>82428</v>
      </c>
      <c r="D17" s="5" t="n">
        <v>48348</v>
      </c>
      <c r="E17" s="5" t="n">
        <v>53273</v>
      </c>
      <c r="F17" s="5" t="n">
        <v>54466</v>
      </c>
      <c r="G17" s="30" t="inlineStr">
        <is>
          <t>ClusterMinerA</t>
        </is>
      </c>
    </row>
    <row r="18">
      <c r="A18" s="5" t="n">
        <v>24</v>
      </c>
      <c r="B18" s="5" t="n">
        <v>68387</v>
      </c>
      <c r="C18" s="5" t="n">
        <v>56146</v>
      </c>
      <c r="D18" s="5" t="n">
        <v>46198</v>
      </c>
      <c r="E18" s="5" t="n">
        <v>43792</v>
      </c>
      <c r="F18" s="5" t="n">
        <v>50661</v>
      </c>
      <c r="G18" s="30" t="inlineStr">
        <is>
          <t>ClusterMinerE</t>
        </is>
      </c>
    </row>
    <row r="19">
      <c r="A19" s="5" t="n">
        <v>25</v>
      </c>
      <c r="B19" s="5" t="n">
        <v>71065</v>
      </c>
      <c r="C19" s="5" t="n">
        <v>58374</v>
      </c>
      <c r="D19" s="5" t="n">
        <v>37660</v>
      </c>
      <c r="E19" s="5" t="n">
        <v>36064</v>
      </c>
      <c r="F19" s="5" t="n">
        <v>42265</v>
      </c>
      <c r="G19" s="30" t="inlineStr">
        <is>
          <t>ClusterMinerA</t>
        </is>
      </c>
    </row>
    <row r="20">
      <c r="A20" s="5" t="n">
        <v>26</v>
      </c>
      <c r="B20" s="5" t="n">
        <v>73682</v>
      </c>
      <c r="C20" s="5" t="n">
        <v>60984</v>
      </c>
      <c r="D20" s="5" t="n">
        <v>40705</v>
      </c>
      <c r="E20" s="5" t="n">
        <v>44439</v>
      </c>
      <c r="F20" s="5" t="n">
        <v>62744</v>
      </c>
      <c r="G20" s="30" t="inlineStr">
        <is>
          <t>ClusterMinerA</t>
        </is>
      </c>
    </row>
    <row r="21">
      <c r="A21" s="5" t="n">
        <v>27</v>
      </c>
      <c r="B21" s="5" t="n">
        <v>53553</v>
      </c>
      <c r="C21" s="5" t="n">
        <v>55607</v>
      </c>
      <c r="D21" s="5" t="n">
        <v>32605</v>
      </c>
      <c r="E21" s="5" t="n">
        <v>29279</v>
      </c>
      <c r="F21" s="5" t="n">
        <v>32646</v>
      </c>
      <c r="G21" s="30" t="inlineStr">
        <is>
          <t>ClusterMinerD</t>
        </is>
      </c>
    </row>
    <row r="22">
      <c r="A22" s="5" t="n">
        <v>28</v>
      </c>
      <c r="B22" s="5" t="n">
        <v>83010</v>
      </c>
      <c r="C22" s="5" t="n">
        <v>79699</v>
      </c>
      <c r="D22" s="5" t="n">
        <v>50673</v>
      </c>
      <c r="E22" s="5" t="n">
        <v>49347</v>
      </c>
      <c r="F22" s="5" t="n">
        <v>60827</v>
      </c>
      <c r="G22" s="30" t="inlineStr">
        <is>
          <t>ClusterMinerB</t>
        </is>
      </c>
    </row>
    <row r="24">
      <c r="A24" s="1" t="inlineStr">
        <is>
          <t>Probabilita di selezione (peso / Σ pesi)</t>
        </is>
      </c>
    </row>
    <row r="25">
      <c r="A25" s="3" t="inlineStr">
        <is>
          <t>Epoch</t>
        </is>
      </c>
      <c r="B25" s="3" t="inlineStr">
        <is>
          <t>ClusterMinerA</t>
        </is>
      </c>
      <c r="C25" s="3" t="inlineStr">
        <is>
          <t>ClusterMinerB</t>
        </is>
      </c>
      <c r="D25" s="3" t="inlineStr">
        <is>
          <t>ClusterMinerC</t>
        </is>
      </c>
      <c r="E25" s="3" t="inlineStr">
        <is>
          <t>ClusterMinerD</t>
        </is>
      </c>
      <c r="F25" s="3" t="inlineStr">
        <is>
          <t>ClusterMinerE</t>
        </is>
      </c>
    </row>
    <row r="26">
      <c r="A26" s="5" t="n">
        <v>9</v>
      </c>
      <c r="B26" s="31" t="n">
        <v>0.224596</v>
      </c>
      <c r="C26" s="31" t="n">
        <v>0.227558</v>
      </c>
      <c r="D26" s="31" t="n">
        <v>0.146908</v>
      </c>
      <c r="E26" s="31" t="n">
        <v>0.146522</v>
      </c>
      <c r="F26" s="31" t="n">
        <v>0.254416</v>
      </c>
    </row>
    <row r="27">
      <c r="A27" s="5" t="n">
        <v>10</v>
      </c>
      <c r="B27" s="31" t="n">
        <v>0.215178</v>
      </c>
      <c r="C27" s="31" t="n">
        <v>0.248969</v>
      </c>
      <c r="D27" s="31" t="n">
        <v>0.190777</v>
      </c>
      <c r="E27" s="31" t="n">
        <v>0.14421</v>
      </c>
      <c r="F27" s="31" t="n">
        <v>0.200866</v>
      </c>
    </row>
    <row r="28">
      <c r="A28" s="5" t="n">
        <v>11</v>
      </c>
      <c r="B28" s="31" t="n">
        <v>0.216459</v>
      </c>
      <c r="C28" s="31" t="n">
        <v>0.246946</v>
      </c>
      <c r="D28" s="31" t="n">
        <v>0.202172</v>
      </c>
      <c r="E28" s="31" t="n">
        <v>0.130171</v>
      </c>
      <c r="F28" s="31" t="n">
        <v>0.204252</v>
      </c>
    </row>
    <row r="29">
      <c r="A29" s="5" t="n">
        <v>12</v>
      </c>
      <c r="B29" s="31" t="n">
        <v>0.25649</v>
      </c>
      <c r="C29" s="31" t="n">
        <v>0.242671</v>
      </c>
      <c r="D29" s="31" t="n">
        <v>0.186168</v>
      </c>
      <c r="E29" s="31" t="n">
        <v>0.137001</v>
      </c>
      <c r="F29" s="31" t="n">
        <v>0.177669</v>
      </c>
    </row>
    <row r="30">
      <c r="A30" s="5" t="n">
        <v>13</v>
      </c>
      <c r="B30" s="31" t="n">
        <v>0.259379</v>
      </c>
      <c r="C30" s="31" t="n">
        <v>0.228391</v>
      </c>
      <c r="D30" s="31" t="n">
        <v>0.158925</v>
      </c>
      <c r="E30" s="31" t="n">
        <v>0.173043</v>
      </c>
      <c r="F30" s="31" t="n">
        <v>0.180263</v>
      </c>
    </row>
    <row r="31">
      <c r="A31" s="5" t="n">
        <v>14</v>
      </c>
      <c r="B31" s="31" t="n">
        <v>0.257727</v>
      </c>
      <c r="C31" s="31" t="n">
        <v>0.234901</v>
      </c>
      <c r="D31" s="31" t="n">
        <v>0.146677</v>
      </c>
      <c r="E31" s="31" t="n">
        <v>0.160171</v>
      </c>
      <c r="F31" s="31" t="n">
        <v>0.200524</v>
      </c>
    </row>
    <row r="32">
      <c r="A32" s="5" t="n">
        <v>15</v>
      </c>
      <c r="B32" s="31" t="n">
        <v>0.236278</v>
      </c>
      <c r="C32" s="31" t="n">
        <v>0.229629</v>
      </c>
      <c r="D32" s="31" t="n">
        <v>0.170156</v>
      </c>
      <c r="E32" s="31" t="n">
        <v>0.166243</v>
      </c>
      <c r="F32" s="31" t="n">
        <v>0.197694</v>
      </c>
    </row>
    <row r="33">
      <c r="A33" s="5" t="n">
        <v>16</v>
      </c>
      <c r="B33" s="31" t="n">
        <v>0.229755</v>
      </c>
      <c r="C33" s="31" t="n">
        <v>0.255436</v>
      </c>
      <c r="D33" s="31" t="n">
        <v>0.161028</v>
      </c>
      <c r="E33" s="31" t="n">
        <v>0.158891</v>
      </c>
      <c r="F33" s="31" t="n">
        <v>0.194891</v>
      </c>
    </row>
    <row r="34">
      <c r="A34" s="5" t="n">
        <v>17</v>
      </c>
      <c r="B34" s="31" t="n">
        <v>0.266166</v>
      </c>
      <c r="C34" s="31" t="n">
        <v>0.253309</v>
      </c>
      <c r="D34" s="31" t="n">
        <v>0.143494</v>
      </c>
      <c r="E34" s="31" t="n">
        <v>0.168425</v>
      </c>
      <c r="F34" s="31" t="n">
        <v>0.168606</v>
      </c>
    </row>
    <row r="35">
      <c r="A35" s="5" t="n">
        <v>18</v>
      </c>
      <c r="B35" s="31" t="n">
        <v>0.25203</v>
      </c>
      <c r="C35" s="31" t="n">
        <v>0.247821</v>
      </c>
      <c r="D35" s="31" t="n">
        <v>0.153662</v>
      </c>
      <c r="E35" s="31" t="n">
        <v>0.159501</v>
      </c>
      <c r="F35" s="31" t="n">
        <v>0.186986</v>
      </c>
    </row>
    <row r="36">
      <c r="A36" s="5" t="n">
        <v>19</v>
      </c>
      <c r="B36" s="31" t="n">
        <v>0.257614</v>
      </c>
      <c r="C36" s="31" t="n">
        <v>0.264683</v>
      </c>
      <c r="D36" s="31" t="n">
        <v>0.15243</v>
      </c>
      <c r="E36" s="31" t="n">
        <v>0.144178</v>
      </c>
      <c r="F36" s="31" t="n">
        <v>0.181095</v>
      </c>
    </row>
    <row r="37">
      <c r="A37" s="5" t="n">
        <v>20</v>
      </c>
      <c r="B37" s="31" t="n">
        <v>0.255838</v>
      </c>
      <c r="C37" s="31" t="n">
        <v>0.224652</v>
      </c>
      <c r="D37" s="31" t="n">
        <v>0.157213</v>
      </c>
      <c r="E37" s="31" t="n">
        <v>0.160689</v>
      </c>
      <c r="F37" s="31" t="n">
        <v>0.201608</v>
      </c>
    </row>
    <row r="38">
      <c r="A38" s="5" t="n">
        <v>21</v>
      </c>
      <c r="B38" s="31" t="n">
        <v>0.244724</v>
      </c>
      <c r="C38" s="31" t="n">
        <v>0.240775</v>
      </c>
      <c r="D38" s="31" t="n">
        <v>0.163455</v>
      </c>
      <c r="E38" s="31" t="n">
        <v>0.157426</v>
      </c>
      <c r="F38" s="31" t="n">
        <v>0.193619</v>
      </c>
    </row>
    <row r="39">
      <c r="A39" s="5" t="n">
        <v>22</v>
      </c>
      <c r="B39" s="31" t="n">
        <v>0.239984</v>
      </c>
      <c r="C39" s="31" t="n">
        <v>0.22976</v>
      </c>
      <c r="D39" s="31" t="n">
        <v>0.165073</v>
      </c>
      <c r="E39" s="31" t="n">
        <v>0.172708</v>
      </c>
      <c r="F39" s="31" t="n">
        <v>0.192474</v>
      </c>
    </row>
    <row r="40">
      <c r="A40" s="5" t="n">
        <v>23</v>
      </c>
      <c r="B40" s="31" t="n">
        <v>0.234722</v>
      </c>
      <c r="C40" s="31" t="n">
        <v>0.264471</v>
      </c>
      <c r="D40" s="31" t="n">
        <v>0.155125</v>
      </c>
      <c r="E40" s="31" t="n">
        <v>0.170927</v>
      </c>
      <c r="F40" s="31" t="n">
        <v>0.174755</v>
      </c>
    </row>
    <row r="41">
      <c r="A41" s="5" t="n">
        <v>24</v>
      </c>
      <c r="B41" s="31" t="n">
        <v>0.257885</v>
      </c>
      <c r="C41" s="31" t="n">
        <v>0.211725</v>
      </c>
      <c r="D41" s="31" t="n">
        <v>0.174211</v>
      </c>
      <c r="E41" s="31" t="n">
        <v>0.165138</v>
      </c>
      <c r="F41" s="31" t="n">
        <v>0.191041</v>
      </c>
    </row>
    <row r="42">
      <c r="A42" s="5" t="n">
        <v>25</v>
      </c>
      <c r="B42" s="31" t="n">
        <v>0.289555</v>
      </c>
      <c r="C42" s="31" t="n">
        <v>0.237846</v>
      </c>
      <c r="D42" s="31" t="n">
        <v>0.153446</v>
      </c>
      <c r="E42" s="31" t="n">
        <v>0.146943</v>
      </c>
      <c r="F42" s="31" t="n">
        <v>0.172209</v>
      </c>
    </row>
    <row r="43">
      <c r="A43" s="5" t="n">
        <v>26</v>
      </c>
      <c r="B43" s="31" t="n">
        <v>0.260771</v>
      </c>
      <c r="C43" s="31" t="n">
        <v>0.215831</v>
      </c>
      <c r="D43" s="31" t="n">
        <v>0.144061</v>
      </c>
      <c r="E43" s="31" t="n">
        <v>0.157276</v>
      </c>
      <c r="F43" s="31" t="n">
        <v>0.22206</v>
      </c>
    </row>
    <row r="44">
      <c r="A44" s="5" t="n">
        <v>27</v>
      </c>
      <c r="B44" s="31" t="n">
        <v>0.262914</v>
      </c>
      <c r="C44" s="31" t="n">
        <v>0.272998</v>
      </c>
      <c r="D44" s="31" t="n">
        <v>0.160072</v>
      </c>
      <c r="E44" s="31" t="n">
        <v>0.143743</v>
      </c>
      <c r="F44" s="31" t="n">
        <v>0.160273</v>
      </c>
    </row>
    <row r="45">
      <c r="A45" s="5" t="n">
        <v>28</v>
      </c>
      <c r="B45" s="31" t="n">
        <v>0.256555</v>
      </c>
      <c r="C45" s="31" t="n">
        <v>0.246322</v>
      </c>
      <c r="D45" s="31" t="n">
        <v>0.156613</v>
      </c>
      <c r="E45" s="31" t="n">
        <v>0.152515</v>
      </c>
      <c r="F45" s="31" t="n">
        <v>0.187995</v>
      </c>
    </row>
  </sheetData>
  <mergeCells count="2">
    <mergeCell ref="A24:G24"/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2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31" customWidth="1" min="3" max="3"/>
    <col width="31" customWidth="1" min="4" max="4"/>
    <col width="16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</cols>
  <sheetData>
    <row r="1">
      <c r="A1" s="3" t="inlineStr">
        <is>
          <t>epoch</t>
        </is>
      </c>
      <c r="B1" s="3" t="inlineStr">
        <is>
          <t>selected_proposer</t>
        </is>
      </c>
      <c r="C1" s="3" t="inlineStr">
        <is>
          <t>selection_probability_at_time</t>
        </is>
      </c>
      <c r="D1" s="3" t="inlineStr">
        <is>
          <t>theoretical_expected_proposer</t>
        </is>
      </c>
      <c r="E1" s="3" t="inlineStr">
        <is>
          <t>match_expected</t>
        </is>
      </c>
      <c r="F1" s="3" t="inlineStr">
        <is>
          <t>total_selections_ClusterMinerA</t>
        </is>
      </c>
      <c r="G1" s="3" t="inlineStr">
        <is>
          <t>total_selections_ClusterMinerB</t>
        </is>
      </c>
      <c r="H1" s="3" t="inlineStr">
        <is>
          <t>total_selections_ClusterMinerC</t>
        </is>
      </c>
      <c r="I1" s="3" t="inlineStr">
        <is>
          <t>total_selections_ClusterMinerD</t>
        </is>
      </c>
      <c r="J1" s="3" t="inlineStr">
        <is>
          <t>total_selections_ClusterMinerE</t>
        </is>
      </c>
      <c r="K1" s="3" t="inlineStr">
        <is>
          <t>cumulative_deviation_from_expected</t>
        </is>
      </c>
    </row>
    <row r="2">
      <c r="A2" s="5" t="n">
        <v>9</v>
      </c>
      <c r="B2" s="5" t="inlineStr">
        <is>
          <t>ClusterMinerB</t>
        </is>
      </c>
      <c r="C2" s="5" t="n">
        <v>0.2276</v>
      </c>
      <c r="D2" s="5" t="inlineStr">
        <is>
          <t>ClusterMinerE</t>
        </is>
      </c>
      <c r="E2" s="5" t="inlineStr">
        <is>
          <t>no</t>
        </is>
      </c>
      <c r="F2" s="5" t="n">
        <v>1</v>
      </c>
      <c r="G2" s="5" t="n">
        <v>2</v>
      </c>
      <c r="H2" s="5" t="n">
        <v>1</v>
      </c>
      <c r="I2" s="5" t="n">
        <v>1</v>
      </c>
      <c r="J2" s="5" t="n">
        <v>1</v>
      </c>
      <c r="K2" s="5" t="n">
        <v>0.2914</v>
      </c>
    </row>
    <row r="3">
      <c r="A3" s="5" t="n">
        <v>10</v>
      </c>
      <c r="B3" s="5" t="inlineStr">
        <is>
          <t>ClusterMinerD</t>
        </is>
      </c>
      <c r="C3" s="5" t="n">
        <v>0.1442</v>
      </c>
      <c r="D3" s="5" t="inlineStr">
        <is>
          <t>ClusterMinerB</t>
        </is>
      </c>
      <c r="E3" s="5" t="inlineStr">
        <is>
          <t>no</t>
        </is>
      </c>
      <c r="F3" s="5" t="n">
        <v>1</v>
      </c>
      <c r="G3" s="5" t="n">
        <v>3</v>
      </c>
      <c r="H3" s="5" t="n">
        <v>2</v>
      </c>
      <c r="I3" s="5" t="n">
        <v>3</v>
      </c>
      <c r="J3" s="5" t="n">
        <v>3</v>
      </c>
      <c r="K3" s="5" t="n">
        <v>0.3119</v>
      </c>
    </row>
    <row r="4">
      <c r="A4" s="5" t="n">
        <v>11</v>
      </c>
      <c r="B4" s="5" t="inlineStr">
        <is>
          <t>ClusterMinerA</t>
        </is>
      </c>
      <c r="C4" s="5" t="n">
        <v>0.2165</v>
      </c>
      <c r="D4" s="5" t="inlineStr">
        <is>
          <t>ClusterMinerB</t>
        </is>
      </c>
      <c r="E4" s="5" t="inlineStr">
        <is>
          <t>no</t>
        </is>
      </c>
      <c r="F4" s="5" t="n">
        <v>4</v>
      </c>
      <c r="G4" s="5" t="n">
        <v>5</v>
      </c>
      <c r="H4" s="5" t="n">
        <v>2</v>
      </c>
      <c r="I4" s="5" t="n">
        <v>4</v>
      </c>
      <c r="J4" s="5" t="n">
        <v>3</v>
      </c>
      <c r="K4" s="5" t="n">
        <v>0.2573</v>
      </c>
    </row>
    <row r="5">
      <c r="A5" s="5" t="n">
        <v>12</v>
      </c>
      <c r="B5" s="5" t="inlineStr">
        <is>
          <t>ClusterMinerA</t>
        </is>
      </c>
      <c r="C5" s="5" t="n">
        <v>0.2565</v>
      </c>
      <c r="D5" s="5" t="inlineStr">
        <is>
          <t>ClusterMinerA</t>
        </is>
      </c>
      <c r="E5" s="5" t="inlineStr">
        <is>
          <t>yes</t>
        </is>
      </c>
      <c r="F5" s="5" t="n">
        <v>6</v>
      </c>
      <c r="G5" s="5" t="n">
        <v>6</v>
      </c>
      <c r="H5" s="5" t="n">
        <v>4</v>
      </c>
      <c r="I5" s="5" t="n">
        <v>5</v>
      </c>
      <c r="J5" s="5" t="n">
        <v>3</v>
      </c>
      <c r="K5" s="5" t="n">
        <v>0.1573</v>
      </c>
    </row>
    <row r="6">
      <c r="A6" s="5" t="n">
        <v>13</v>
      </c>
      <c r="B6" s="5" t="inlineStr">
        <is>
          <t>ClusterMinerE</t>
        </is>
      </c>
      <c r="C6" s="5" t="n">
        <v>0.1803</v>
      </c>
      <c r="D6" s="5" t="inlineStr">
        <is>
          <t>ClusterMinerA</t>
        </is>
      </c>
      <c r="E6" s="5" t="inlineStr">
        <is>
          <t>no</t>
        </is>
      </c>
      <c r="F6" s="5" t="n">
        <v>6</v>
      </c>
      <c r="G6" s="5" t="n">
        <v>6</v>
      </c>
      <c r="H6" s="5" t="n">
        <v>5</v>
      </c>
      <c r="I6" s="5" t="n">
        <v>7</v>
      </c>
      <c r="J6" s="5" t="n">
        <v>6</v>
      </c>
      <c r="K6" s="5" t="n">
        <v>0.1755</v>
      </c>
    </row>
    <row r="7">
      <c r="A7" s="5" t="n">
        <v>14</v>
      </c>
      <c r="B7" s="5" t="inlineStr">
        <is>
          <t>ClusterMinerE</t>
        </is>
      </c>
      <c r="C7" s="5" t="n">
        <v>0.2005</v>
      </c>
      <c r="D7" s="5" t="inlineStr">
        <is>
          <t>ClusterMinerA</t>
        </is>
      </c>
      <c r="E7" s="5" t="inlineStr">
        <is>
          <t>no</t>
        </is>
      </c>
      <c r="F7" s="5" t="n">
        <v>7</v>
      </c>
      <c r="G7" s="5" t="n">
        <v>7</v>
      </c>
      <c r="H7" s="5" t="n">
        <v>6</v>
      </c>
      <c r="I7" s="5" t="n">
        <v>8</v>
      </c>
      <c r="J7" s="5" t="n">
        <v>8</v>
      </c>
      <c r="K7" s="5" t="n">
        <v>0.2075</v>
      </c>
    </row>
    <row r="8">
      <c r="A8" s="5" t="n">
        <v>15</v>
      </c>
      <c r="B8" s="5" t="inlineStr">
        <is>
          <t>ClusterMinerC</t>
        </is>
      </c>
      <c r="C8" s="5" t="n">
        <v>0.1702</v>
      </c>
      <c r="D8" s="5" t="inlineStr">
        <is>
          <t>ClusterMinerA</t>
        </is>
      </c>
      <c r="E8" s="5" t="inlineStr">
        <is>
          <t>no</t>
        </is>
      </c>
      <c r="F8" s="5" t="n">
        <v>9</v>
      </c>
      <c r="G8" s="5" t="n">
        <v>8</v>
      </c>
      <c r="H8" s="5" t="n">
        <v>8</v>
      </c>
      <c r="I8" s="5" t="n">
        <v>8</v>
      </c>
      <c r="J8" s="5" t="n">
        <v>9</v>
      </c>
      <c r="K8" s="5" t="n">
        <v>0.1223</v>
      </c>
    </row>
    <row r="9">
      <c r="A9" s="5" t="n">
        <v>16</v>
      </c>
      <c r="B9" s="5" t="inlineStr">
        <is>
          <t>ClusterMinerC</t>
        </is>
      </c>
      <c r="C9" s="5" t="n">
        <v>0.161</v>
      </c>
      <c r="D9" s="5" t="inlineStr">
        <is>
          <t>ClusterMinerB</t>
        </is>
      </c>
      <c r="E9" s="5" t="inlineStr">
        <is>
          <t>no</t>
        </is>
      </c>
      <c r="F9" s="5" t="n">
        <v>11</v>
      </c>
      <c r="G9" s="5" t="n">
        <v>9</v>
      </c>
      <c r="H9" s="5" t="n">
        <v>10</v>
      </c>
      <c r="I9" s="5" t="n">
        <v>8</v>
      </c>
      <c r="J9" s="5" t="n">
        <v>10</v>
      </c>
      <c r="K9" s="5" t="n">
        <v>0.137</v>
      </c>
    </row>
    <row r="10">
      <c r="A10" s="5" t="n">
        <v>17</v>
      </c>
      <c r="B10" s="5" t="inlineStr">
        <is>
          <t>ClusterMinerE</t>
        </is>
      </c>
      <c r="C10" s="5" t="n">
        <v>0.1686</v>
      </c>
      <c r="D10" s="5" t="inlineStr">
        <is>
          <t>ClusterMinerA</t>
        </is>
      </c>
      <c r="E10" s="5" t="inlineStr">
        <is>
          <t>no</t>
        </is>
      </c>
      <c r="F10" s="5" t="n">
        <v>13</v>
      </c>
      <c r="G10" s="5" t="n">
        <v>9</v>
      </c>
      <c r="H10" s="5" t="n">
        <v>11</v>
      </c>
      <c r="I10" s="5" t="n">
        <v>9</v>
      </c>
      <c r="J10" s="5" t="n">
        <v>12</v>
      </c>
      <c r="K10" s="5" t="n">
        <v>0.2277</v>
      </c>
    </row>
    <row r="11">
      <c r="A11" s="5" t="n">
        <v>18</v>
      </c>
      <c r="B11" s="5" t="inlineStr">
        <is>
          <t>ClusterMinerD</t>
        </is>
      </c>
      <c r="C11" s="5" t="n">
        <v>0.1595</v>
      </c>
      <c r="D11" s="5" t="inlineStr">
        <is>
          <t>ClusterMinerA</t>
        </is>
      </c>
      <c r="E11" s="5" t="inlineStr">
        <is>
          <t>no</t>
        </is>
      </c>
      <c r="F11" s="5" t="n">
        <v>13</v>
      </c>
      <c r="G11" s="5" t="n">
        <v>10</v>
      </c>
      <c r="H11" s="5" t="n">
        <v>13</v>
      </c>
      <c r="I11" s="5" t="n">
        <v>12</v>
      </c>
      <c r="J11" s="5" t="n">
        <v>12</v>
      </c>
      <c r="K11" s="5" t="n">
        <v>0.233</v>
      </c>
    </row>
    <row r="12">
      <c r="A12" s="5" t="n">
        <v>19</v>
      </c>
      <c r="B12" s="5" t="inlineStr">
        <is>
          <t>ClusterMinerE</t>
        </is>
      </c>
      <c r="C12" s="5" t="n">
        <v>0.1811</v>
      </c>
      <c r="D12" s="5" t="inlineStr">
        <is>
          <t>ClusterMinerB</t>
        </is>
      </c>
      <c r="E12" s="5" t="inlineStr">
        <is>
          <t>no</t>
        </is>
      </c>
      <c r="F12" s="5" t="n">
        <v>14</v>
      </c>
      <c r="G12" s="5" t="n">
        <v>11</v>
      </c>
      <c r="H12" s="5" t="n">
        <v>15</v>
      </c>
      <c r="I12" s="5" t="n">
        <v>12</v>
      </c>
      <c r="J12" s="5" t="n">
        <v>14</v>
      </c>
      <c r="K12" s="5" t="n">
        <v>0.287</v>
      </c>
    </row>
    <row r="13">
      <c r="A13" s="5" t="n">
        <v>20</v>
      </c>
      <c r="B13" s="5" t="inlineStr">
        <is>
          <t>ClusterMinerB</t>
        </is>
      </c>
      <c r="C13" s="5" t="n">
        <v>0.2247</v>
      </c>
      <c r="D13" s="5" t="inlineStr">
        <is>
          <t>ClusterMinerA</t>
        </is>
      </c>
      <c r="E13" s="5" t="inlineStr">
        <is>
          <t>no</t>
        </is>
      </c>
      <c r="F13" s="5" t="n">
        <v>16</v>
      </c>
      <c r="G13" s="5" t="n">
        <v>13</v>
      </c>
      <c r="H13" s="5" t="n">
        <v>15</v>
      </c>
      <c r="I13" s="5" t="n">
        <v>13</v>
      </c>
      <c r="J13" s="5" t="n">
        <v>15</v>
      </c>
      <c r="K13" s="5" t="n">
        <v>0.1554</v>
      </c>
    </row>
    <row r="14">
      <c r="A14" s="5" t="n">
        <v>21</v>
      </c>
      <c r="B14" s="5" t="inlineStr">
        <is>
          <t>ClusterMinerE</t>
        </is>
      </c>
      <c r="C14" s="5" t="n">
        <v>0.1936</v>
      </c>
      <c r="D14" s="5" t="inlineStr">
        <is>
          <t>ClusterMinerA</t>
        </is>
      </c>
      <c r="E14" s="5" t="inlineStr">
        <is>
          <t>no</t>
        </is>
      </c>
      <c r="F14" s="5" t="n">
        <v>17</v>
      </c>
      <c r="G14" s="5" t="n">
        <v>15</v>
      </c>
      <c r="H14" s="5" t="n">
        <v>15</v>
      </c>
      <c r="I14" s="5" t="n">
        <v>13</v>
      </c>
      <c r="J14" s="5" t="n">
        <v>18</v>
      </c>
      <c r="K14" s="5" t="n">
        <v>0.1505</v>
      </c>
    </row>
    <row r="15">
      <c r="A15" s="5" t="n">
        <v>22</v>
      </c>
      <c r="B15" s="5" t="inlineStr">
        <is>
          <t>ClusterMinerC</t>
        </is>
      </c>
      <c r="C15" s="5" t="n">
        <v>0.1651</v>
      </c>
      <c r="D15" s="5" t="inlineStr">
        <is>
          <t>ClusterMinerA</t>
        </is>
      </c>
      <c r="E15" s="5" t="inlineStr">
        <is>
          <t>no</t>
        </is>
      </c>
      <c r="F15" s="5" t="n">
        <v>18</v>
      </c>
      <c r="G15" s="5" t="n">
        <v>15</v>
      </c>
      <c r="H15" s="5" t="n">
        <v>17</v>
      </c>
      <c r="I15" s="5" t="n">
        <v>14</v>
      </c>
      <c r="J15" s="5" t="n">
        <v>20</v>
      </c>
      <c r="K15" s="5" t="n">
        <v>0.1659</v>
      </c>
    </row>
    <row r="16">
      <c r="A16" s="5" t="n">
        <v>23</v>
      </c>
      <c r="B16" s="5" t="inlineStr">
        <is>
          <t>ClusterMinerA</t>
        </is>
      </c>
      <c r="C16" s="5" t="n">
        <v>0.2347</v>
      </c>
      <c r="D16" s="5" t="inlineStr">
        <is>
          <t>ClusterMinerB</t>
        </is>
      </c>
      <c r="E16" s="5" t="inlineStr">
        <is>
          <t>no</t>
        </is>
      </c>
      <c r="F16" s="5" t="n">
        <v>20</v>
      </c>
      <c r="G16" s="5" t="n">
        <v>16</v>
      </c>
      <c r="H16" s="5" t="n">
        <v>18</v>
      </c>
      <c r="I16" s="5" t="n">
        <v>14</v>
      </c>
      <c r="J16" s="5" t="n">
        <v>22</v>
      </c>
      <c r="K16" s="5" t="n">
        <v>0.2291</v>
      </c>
    </row>
    <row r="17">
      <c r="A17" s="5" t="n">
        <v>24</v>
      </c>
      <c r="B17" s="5" t="inlineStr">
        <is>
          <t>ClusterMinerE</t>
        </is>
      </c>
      <c r="C17" s="5" t="n">
        <v>0.191</v>
      </c>
      <c r="D17" s="5" t="inlineStr">
        <is>
          <t>ClusterMinerA</t>
        </is>
      </c>
      <c r="E17" s="5" t="inlineStr">
        <is>
          <t>no</t>
        </is>
      </c>
      <c r="F17" s="5" t="n">
        <v>21</v>
      </c>
      <c r="G17" s="5" t="n">
        <v>17</v>
      </c>
      <c r="H17" s="5" t="n">
        <v>19</v>
      </c>
      <c r="I17" s="5" t="n">
        <v>15</v>
      </c>
      <c r="J17" s="5" t="n">
        <v>24</v>
      </c>
      <c r="K17" s="5" t="n">
        <v>0.1653</v>
      </c>
    </row>
    <row r="18">
      <c r="A18" s="5" t="n">
        <v>25</v>
      </c>
      <c r="B18" s="5" t="inlineStr">
        <is>
          <t>ClusterMinerA</t>
        </is>
      </c>
      <c r="C18" s="5" t="n">
        <v>0.2896</v>
      </c>
      <c r="D18" s="5" t="inlineStr">
        <is>
          <t>ClusterMinerA</t>
        </is>
      </c>
      <c r="E18" s="5" t="inlineStr">
        <is>
          <t>yes</t>
        </is>
      </c>
      <c r="F18" s="5" t="n">
        <v>24</v>
      </c>
      <c r="G18" s="5" t="n">
        <v>17</v>
      </c>
      <c r="H18" s="5" t="n">
        <v>20</v>
      </c>
      <c r="I18" s="5" t="n">
        <v>16</v>
      </c>
      <c r="J18" s="5" t="n">
        <v>25</v>
      </c>
      <c r="K18" s="5" t="n">
        <v>0.2509</v>
      </c>
    </row>
    <row r="19">
      <c r="A19" s="5" t="n">
        <v>26</v>
      </c>
      <c r="B19" s="5" t="inlineStr">
        <is>
          <t>ClusterMinerA</t>
        </is>
      </c>
      <c r="C19" s="5" t="n">
        <v>0.2608</v>
      </c>
      <c r="D19" s="5" t="inlineStr">
        <is>
          <t>ClusterMinerA</t>
        </is>
      </c>
      <c r="E19" s="5" t="inlineStr">
        <is>
          <t>yes</t>
        </is>
      </c>
      <c r="F19" s="5" t="n">
        <v>27</v>
      </c>
      <c r="G19" s="5" t="n">
        <v>18</v>
      </c>
      <c r="H19" s="5" t="n">
        <v>21</v>
      </c>
      <c r="I19" s="5" t="n">
        <v>17</v>
      </c>
      <c r="J19" s="5" t="n">
        <v>25</v>
      </c>
      <c r="K19" s="5" t="n">
        <v>0.1199</v>
      </c>
    </row>
    <row r="20">
      <c r="A20" s="5" t="n">
        <v>27</v>
      </c>
      <c r="B20" s="5" t="inlineStr">
        <is>
          <t>ClusterMinerD</t>
        </is>
      </c>
      <c r="C20" s="5" t="n">
        <v>0.1437</v>
      </c>
      <c r="D20" s="5" t="inlineStr">
        <is>
          <t>ClusterMinerB</t>
        </is>
      </c>
      <c r="E20" s="5" t="inlineStr">
        <is>
          <t>no</t>
        </is>
      </c>
      <c r="F20" s="5" t="n">
        <v>28</v>
      </c>
      <c r="G20" s="5" t="n">
        <v>18</v>
      </c>
      <c r="H20" s="5" t="n">
        <v>21</v>
      </c>
      <c r="I20" s="5" t="n">
        <v>20</v>
      </c>
      <c r="J20" s="5" t="n">
        <v>27</v>
      </c>
      <c r="K20" s="5" t="n">
        <v>0.2648</v>
      </c>
    </row>
    <row r="21">
      <c r="A21" s="5" t="n">
        <v>28</v>
      </c>
      <c r="B21" s="5" t="inlineStr">
        <is>
          <t>ClusterMinerB</t>
        </is>
      </c>
      <c r="C21" s="5" t="n">
        <v>0.2463</v>
      </c>
      <c r="D21" s="5" t="inlineStr">
        <is>
          <t>ClusterMinerA</t>
        </is>
      </c>
      <c r="E21" s="5" t="inlineStr">
        <is>
          <t>no</t>
        </is>
      </c>
      <c r="F21" s="5" t="n">
        <v>28</v>
      </c>
      <c r="G21" s="5" t="n">
        <v>21</v>
      </c>
      <c r="H21" s="5" t="n">
        <v>22</v>
      </c>
      <c r="I21" s="5" t="n">
        <v>21</v>
      </c>
      <c r="J21" s="5" t="n">
        <v>28</v>
      </c>
      <c r="K21" s="5" t="n">
        <v>0.1891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0" customWidth="1" min="3" max="3"/>
    <col width="110" customWidth="1" min="4" max="4"/>
  </cols>
  <sheetData>
    <row r="1">
      <c r="A1" s="1" t="inlineStr">
        <is>
          <t>Invarianti di fine run (output/assertions.csv)</t>
        </is>
      </c>
    </row>
    <row r="2">
      <c r="A2" s="3" t="inlineStr">
        <is>
          <t>Check</t>
        </is>
      </c>
      <c r="B2" s="3" t="inlineStr">
        <is>
          <t>Ambito</t>
        </is>
      </c>
      <c r="C2" s="3" t="inlineStr">
        <is>
          <t>Esito</t>
        </is>
      </c>
      <c r="D2" s="3" t="inlineStr">
        <is>
          <t>Dettaglio</t>
        </is>
      </c>
    </row>
    <row r="3">
      <c r="A3" s="33" t="inlineStr">
        <is>
          <t>engine_matches_replay</t>
        </is>
      </c>
      <c r="B3" s="34" t="inlineStr">
        <is>
          <t>published w_k vs harness replay</t>
        </is>
      </c>
      <c r="C3" s="35" t="inlineStr">
        <is>
          <t>FAIL</t>
        </is>
      </c>
      <c r="D3" s="34" t="inlineStr">
        <is>
          <t>83/100 comparable cells agree (44 exact, 39 within 1.0%, 17 off, 0 unpublished)</t>
        </is>
      </c>
    </row>
    <row r="4">
      <c r="A4" s="9" t="inlineStr">
        <is>
          <t>reconciliation_visible_to_engine</t>
        </is>
      </c>
      <c r="B4" s="11" t="inlineStr">
        <is>
          <t>weight-engine-reconciliation</t>
        </is>
      </c>
      <c r="C4" s="10" t="inlineStr">
        <is>
          <t>PASS</t>
        </is>
      </c>
      <c r="D4" s="11" t="inlineStr">
        <is>
          <t>every R_k record confirmed before the next epoch buried (mempool peak 0 tx)</t>
        </is>
      </c>
    </row>
    <row r="5">
      <c r="A5" s="9" t="inlineStr">
        <is>
          <t>settlement_confirmed</t>
        </is>
      </c>
      <c r="B5" s="11" t="inlineStr">
        <is>
          <t>allocation + reconciliation transfers</t>
        </is>
      </c>
      <c r="C5" s="10" t="inlineStr">
        <is>
          <t>PASS</t>
        </is>
      </c>
      <c r="D5" s="11" t="inlineStr">
        <is>
          <t>every settlement transfer and governance publish confirmed</t>
        </is>
      </c>
    </row>
    <row r="6">
      <c r="A6" s="33" t="inlineStr">
        <is>
          <t>weight_ranking</t>
        </is>
      </c>
      <c r="B6" s="34" t="inlineStr">
        <is>
          <t>ESG+NumTx composite</t>
        </is>
      </c>
      <c r="C6" s="35" t="inlineStr">
        <is>
          <t>FAIL</t>
        </is>
      </c>
      <c r="D6" s="34" t="inlineStr">
        <is>
          <t>mean pairwise concordance 0.7950 over 20 epochs (min 0.80)</t>
        </is>
      </c>
    </row>
    <row r="7">
      <c r="A7" s="33" t="inlineStr">
        <is>
          <t>tau_coverage</t>
        </is>
      </c>
      <c r="B7" s="34" t="inlineStr">
        <is>
          <t>sampled epochs</t>
        </is>
      </c>
      <c r="C7" s="35" t="inlineStr">
        <is>
          <t>FAIL</t>
        </is>
      </c>
      <c r="D7" s="34" t="inlineStr">
        <is>
          <t>unattributed transactions in 12 epoch(s): [(17, 2), (18, 2), (19, 2), (20, 8), (21, 1)]</t>
        </is>
      </c>
    </row>
    <row r="8">
      <c r="A8" s="9" t="inlineStr">
        <is>
          <t>membership_from_chain</t>
        </is>
      </c>
      <c r="B8" s="11" t="inlineStr">
        <is>
          <t>weight-engine-membership</t>
        </is>
      </c>
      <c r="C8" s="10" t="inlineStr">
        <is>
          <t>PASS</t>
        </is>
      </c>
      <c r="D8" s="11" t="inlineStr">
        <is>
          <t>on-chain cluster sets match the configured topology (5 clusters x 10)</t>
        </is>
      </c>
    </row>
    <row r="9">
      <c r="A9" s="9" t="inlineStr">
        <is>
          <t>alloc_sums_to_alpha_theta</t>
        </is>
      </c>
      <c r="B9" s="11" t="inlineStr">
        <is>
          <t>per epoch</t>
        </is>
      </c>
      <c r="C9" s="10" t="inlineStr">
        <is>
          <t>PASS</t>
        </is>
      </c>
      <c r="D9" s="11" t="inlineStr">
        <is>
          <t>20/20 epochs pass</t>
        </is>
      </c>
    </row>
    <row r="10">
      <c r="A10" s="9" t="inlineStr">
        <is>
          <t>delay_sums_to_1000</t>
        </is>
      </c>
      <c r="B10" s="11" t="inlineStr">
        <is>
          <t>per epoch</t>
        </is>
      </c>
      <c r="C10" s="10" t="inlineStr">
        <is>
          <t>PASS</t>
        </is>
      </c>
      <c r="D10" s="11" t="inlineStr">
        <is>
          <t>20/20 epochs pass</t>
        </is>
      </c>
    </row>
    <row r="11">
      <c r="A11" s="9" t="inlineStr">
        <is>
          <t>rho_in_unit_interval</t>
        </is>
      </c>
      <c r="B11" s="11" t="inlineStr">
        <is>
          <t>per epoch</t>
        </is>
      </c>
      <c r="C11" s="10" t="inlineStr">
        <is>
          <t>PASS</t>
        </is>
      </c>
      <c r="D11" s="11" t="inlineStr">
        <is>
          <t>20/20 epochs pass</t>
        </is>
      </c>
    </row>
    <row r="12">
      <c r="A12" s="9" t="inlineStr">
        <is>
          <t>balance_non_negative</t>
        </is>
      </c>
      <c r="B12" s="11" t="inlineStr">
        <is>
          <t>per epoch</t>
        </is>
      </c>
      <c r="C12" s="10" t="inlineStr">
        <is>
          <t>PASS</t>
        </is>
      </c>
      <c r="D12" s="11" t="inlineStr">
        <is>
          <t>20/20 epochs pass</t>
        </is>
      </c>
    </row>
    <row r="13">
      <c r="A13" s="9" t="inlineStr">
        <is>
          <t>resi_within_available</t>
        </is>
      </c>
      <c r="B13" s="11" t="inlineStr">
        <is>
          <t>per epoch</t>
        </is>
      </c>
      <c r="C13" s="10" t="inlineStr">
        <is>
          <t>PASS</t>
        </is>
      </c>
      <c r="D13" s="11" t="inlineStr">
        <is>
          <t>20/20 epochs pass</t>
        </is>
      </c>
    </row>
    <row r="14">
      <c r="A14" s="9" t="inlineStr">
        <is>
          <t>conformity_rate_range</t>
        </is>
      </c>
      <c r="B14" s="11" t="inlineStr">
        <is>
          <t>all epochs x clusters</t>
        </is>
      </c>
      <c r="C14" s="10" t="inlineStr">
        <is>
          <t>PASS</t>
        </is>
      </c>
      <c r="D14" s="11" t="inlineStr">
        <is>
          <t>all 100 rows in [0,100]%</t>
        </is>
      </c>
    </row>
    <row r="15">
      <c r="A15" s="9" t="inlineStr">
        <is>
          <t>total_gain_monotonic</t>
        </is>
      </c>
      <c r="B15" s="11" t="inlineStr">
        <is>
          <t>per cluster</t>
        </is>
      </c>
      <c r="C15" s="10" t="inlineStr">
        <is>
          <t>PASS</t>
        </is>
      </c>
      <c r="D15" s="11" t="inlineStr">
        <is>
          <t>monotonic across 20 epochs for all 5 clusters</t>
        </is>
      </c>
    </row>
    <row r="16">
      <c r="A16" s="9" t="inlineStr">
        <is>
          <t>alloc_equals_alpha_theta</t>
        </is>
      </c>
      <c r="B16" s="11" t="inlineStr">
        <is>
          <t>network</t>
        </is>
      </c>
      <c r="C16" s="10" t="inlineStr">
        <is>
          <t>PASS</t>
        </is>
      </c>
      <c r="D16" s="11" t="inlineStr">
        <is>
          <t>sum A_k 2577.9995 vs alpha*Theta 2578.0000 (Theta=12890) -- an EQUALITY under the weight-share model, unlike the per-block fee tally it replaced</t>
        </is>
      </c>
    </row>
    <row r="17">
      <c r="A17" s="9" t="inlineStr">
        <is>
          <t>gas_returned_to_admin</t>
        </is>
      </c>
      <c r="B17" s="11" t="inlineStr">
        <is>
          <t>ADMIN address</t>
        </is>
      </c>
      <c r="C17" s="10" t="inlineStr">
        <is>
          <t>PASS</t>
        </is>
      </c>
      <c r="D17" s="11" t="inlineStr">
        <is>
          <t>ADMIN balance delta 2502.5020 vs sum Resi read off chain 2502.5020</t>
        </is>
      </c>
    </row>
    <row r="18">
      <c r="A18" s="9" t="inlineStr">
        <is>
          <t>feepool_paid_out</t>
        </is>
      </c>
      <c r="B18" s="11" t="inlineStr">
        <is>
          <t>FEEPOOL address</t>
        </is>
      </c>
      <c r="C18" s="10" t="inlineStr">
        <is>
          <t>PASS</t>
        </is>
      </c>
      <c r="D18" s="11" t="inlineStr">
        <is>
          <t>FEEPOOL balance delta -2577.9995 vs -sum A_k -2577.9995</t>
        </is>
      </c>
    </row>
    <row r="19">
      <c r="A19" s="9" t="inlineStr">
        <is>
          <t>gas_supply_conserved</t>
        </is>
      </c>
      <c r="B19" s="11" t="inlineStr">
        <is>
          <t>all addresses</t>
        </is>
      </c>
      <c r="C19" s="10" t="inlineStr">
        <is>
          <t>PASS</t>
        </is>
      </c>
      <c r="D19" s="11" t="inlineStr">
        <is>
          <t>balances 2000000.0000 (minconf 1) / 2000000.0000 (minconf 0) vs issued supply 2000000.0000 -- delta 0.0000 / 0.0000</t>
        </is>
      </c>
    </row>
    <row r="20">
      <c r="A20" s="9" t="inlineStr">
        <is>
          <t>giacenza_matches_chain</t>
        </is>
      </c>
      <c r="B20" s="11" t="inlineStr">
        <is>
          <t>per cluster miner</t>
        </is>
      </c>
      <c r="C20" s="10" t="inlineStr">
        <is>
          <t>PASS</t>
        </is>
      </c>
      <c r="D20" s="11" t="inlineStr">
        <is>
          <t>balance delta - miner trading = B_k for all 5 clusters (sum B_k 75.4975)</t>
        </is>
      </c>
    </row>
    <row r="21">
      <c r="A21" s="9" t="inlineStr">
        <is>
          <t>proposer_share_tracks_p_k</t>
        </is>
      </c>
      <c r="B21" s="11" t="inlineStr">
        <is>
          <t>wpoa selection</t>
        </is>
      </c>
      <c r="C21" s="10" t="inlineStr">
        <is>
          <t>PASS</t>
        </is>
      </c>
      <c r="D21" s="11" t="inlineStr">
        <is>
          <t>total L1 deviation between observed block share and mean p_k: 0.0931 over 120 blocks. REPORTED, not thresholded: the selector applies its own whale-compression at election time (weight_engine.h), so exact agreement is not expected</t>
        </is>
      </c>
    </row>
    <row r="23">
      <c r="A23" s="1" t="inlineStr">
        <is>
          <t>Invarianti per epoca (output/epoch_checks.csv): 100 controlli, 0 fallimenti</t>
        </is>
      </c>
    </row>
    <row r="24">
      <c r="A24" s="3" t="inlineStr">
        <is>
          <t>Epoch</t>
        </is>
      </c>
      <c r="B24" s="3" t="inlineStr">
        <is>
          <t>Check</t>
        </is>
      </c>
      <c r="C24" s="3" t="inlineStr">
        <is>
          <t>Esito</t>
        </is>
      </c>
      <c r="D24" s="3" t="inlineStr">
        <is>
          <t>Dettaglio</t>
        </is>
      </c>
    </row>
    <row r="25">
      <c r="A25" s="36" t="inlineStr">
        <is>
          <t>—</t>
        </is>
      </c>
      <c r="B25" s="9" t="inlineStr">
        <is>
          <t>tutti i controlli superati</t>
        </is>
      </c>
      <c r="C25" s="10" t="inlineStr">
        <is>
          <t>PASS</t>
        </is>
      </c>
      <c r="D25" s="11" t="inlineStr">
        <is>
          <t>alpha×Theta, somma Delay = 1000, rho in [0,1], B_k &gt;= 0, R_k &lt;= A_k + B_prev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2026-07-26T16:40:08Z</dcterms:created>
  <dcterms:modified xsi:type="dcterms:W3CDTF">2026-07-26T16:40:08Z</dcterms:modified>
</cp:coreProperties>
</file>